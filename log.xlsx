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d4caf05cfdb84f1c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持有" sheetId="5" r:id="R1b949c389d394a57"/>
    <x:sheet xmlns:r="http://schemas.openxmlformats.org/officeDocument/2006/relationships" name="指数" sheetId="1" r:id="R26c9587d94a54fc6"/>
    <x:sheet xmlns:r="http://schemas.openxmlformats.org/officeDocument/2006/relationships" name="量化" sheetId="2" r:id="R56d4b21ce66b4b38"/>
    <x:sheet xmlns:r="http://schemas.openxmlformats.org/officeDocument/2006/relationships" name="行业" sheetId="3" r:id="Rd988eedebcd24d69"/>
    <x:sheet xmlns:r="http://schemas.openxmlformats.org/officeDocument/2006/relationships" name="其他" sheetId="4" r:id="R8a7a85dbdafe470c"/>
  </x:sheets>
</x:workbook>
</file>

<file path=xl/sharedStrings.xml><?xml version="1.0" encoding="utf-8"?>
<x:sst xmlns:x="http://schemas.openxmlformats.org/spreadsheetml/2006/main">
  <x:si>
    <x:t xml:space="preserve">类型</x:t>
  </x:si>
  <x:si>
    <x:t xml:space="preserve">代码</x:t>
  </x:si>
  <x:si>
    <x:t xml:space="preserve">基金</x:t>
  </x:si>
  <x:si>
    <x:t xml:space="preserve">持仓</x:t>
  </x:si>
  <x:si>
    <x:t xml:space="preserve">成本</x:t>
  </x:si>
  <x:si>
    <x:t xml:space="preserve">占比</x:t>
  </x:si>
  <x:si>
    <x:t xml:space="preserve">收益</x:t>
  </x:si>
  <x:si>
    <x:t xml:space="preserve">收益率</x:t>
  </x:si>
  <x:si>
    <x:t xml:space="preserve">指数</x:t>
  </x:si>
  <x:si>
    <x:t xml:space="preserve">460300</x:t>
  </x:si>
  <x:si>
    <x:t xml:space="preserve">华泰柏瑞沪深300ETF联接A</x:t>
  </x:si>
  <x:si>
    <x:t xml:space="preserve">160119</x:t>
  </x:si>
  <x:si>
    <x:t xml:space="preserve">南方中证500ETF联接(LOF)A</x:t>
  </x:si>
  <x:si>
    <x:t xml:space="preserve">110026</x:t>
  </x:si>
  <x:si>
    <x:t xml:space="preserve">易方达创业板ETF联接A</x:t>
  </x:si>
  <x:si>
    <x:t xml:space="preserve">100032</x:t>
  </x:si>
  <x:si>
    <x:t xml:space="preserve">富国中证红利指数增强A</x:t>
  </x:si>
  <x:si>
    <x:t xml:space="preserve">164705</x:t>
  </x:si>
  <x:si>
    <x:t xml:space="preserve">汇添富恒生指数(QDII-LOF)A</x:t>
  </x:si>
  <x:si>
    <x:t xml:space="preserve">021457</x:t>
  </x:si>
  <x:si>
    <x:t xml:space="preserve">易方达恒生红利低波ETF联接A</x:t>
  </x:si>
  <x:si>
    <x:t xml:space="preserve">指数合计</x:t>
  </x:si>
  <x:si>
    <x:t xml:space="preserve">量化</x:t>
  </x:si>
  <x:si>
    <x:t xml:space="preserve">004643</x:t>
  </x:si>
  <x:si>
    <x:t xml:space="preserve">南方中证全指房地产</x:t>
  </x:si>
  <x:si>
    <x:t xml:space="preserve">013126</x:t>
  </x:si>
  <x:si>
    <x:t xml:space="preserve">华夏中证细分食品饮料产业主题</x:t>
  </x:si>
  <x:si>
    <x:t xml:space="preserve">000249</x:t>
  </x:si>
  <x:si>
    <x:t xml:space="preserve">汇添富中证主要消费</x:t>
  </x:si>
  <x:si>
    <x:t xml:space="preserve">量化合计</x:t>
  </x:si>
  <x:si>
    <x:t xml:space="preserve">行业</x:t>
  </x:si>
  <x:si>
    <x:t xml:space="preserve">行业合计</x:t>
  </x:si>
  <x:si>
    <x:t xml:space="preserve">其他</x:t>
  </x:si>
  <x:si>
    <x:t xml:space="preserve">ZFB</x:t>
  </x:si>
  <x:si>
    <x:t xml:space="preserve">余额宝</x:t>
  </x:si>
  <x:si>
    <x:t xml:space="preserve">总计</x:t>
  </x:si>
  <x:si>
    <x:t xml:space="preserve">-</x:t>
  </x:si>
  <x:si>
    <x:t xml:space="preserve">日期</x:t>
  </x:si>
  <x:si>
    <x:t xml:space="preserve">方向</x:t>
  </x:si>
  <x:si>
    <x:t xml:space="preserve">金额</x:t>
  </x:si>
  <x:si>
    <x:t xml:space="preserve">买入</x:t>
  </x:si>
</x:sst>
</file>

<file path=xl/styles.xml><?xml version="1.0" encoding="utf-8"?>
<x:styleSheet xmlns:x="http://schemas.openxmlformats.org/spreadsheetml/2006/main">
  <x:numFmts count="3">
    <x:numFmt numFmtId="176" formatCode="yyyy\-mm\-dd"/>
    <x:numFmt numFmtId="177" formatCode="0.0%"/>
    <x:numFmt numFmtId="200" formatCode="#,##0.00"/>
  </x:numFmts>
  <x:fonts count="7">
    <x:font>
      <x:sz val="11"/>
      <x:color theme="1"/>
      <x:name val="宋体"/>
    </x:font>
    <x:font>
      <x:b/>
      <x:sz val="20"/>
      <x:color theme="1"/>
      <x:name val="宋体"/>
    </x:font>
    <x:font>
      <x:b/>
      <x:sz val="11"/>
      <x:color theme="1"/>
      <x:name val="宋体"/>
    </x:font>
    <x:font>
      <x:sz val="20"/>
      <x:color theme="1"/>
      <x:name val="宋体"/>
    </x:font>
    <x:font>
      <x:sz val="9"/>
      <x:name val="宋体"/>
    </x:font>
    <x:font>
      <x:b/>
      <x:sz val="20"/>
      <x:color theme="1"/>
      <x:name val="宋体"/>
    </x:font>
    <x:font>
      <x:sz val="20"/>
      <x:color theme="1"/>
      <x:name val="宋体"/>
    </x:font>
  </x:fonts>
  <x:fills count="4">
    <x:fill>
      <x:patternFill patternType="none"/>
    </x:fill>
    <x:fill>
      <x:patternFill patternType="gray125"/>
    </x:fill>
    <x:fill>
      <x:patternFill patternType="solid">
        <x:fgColor rgb="FFF2F2F2"/>
      </x:patternFill>
    </x:fill>
    <x:fill>
      <x:patternFill patternType="solid">
        <x:fgColor rgb="FFF2F2F2"/>
      </x:patternFill>
    </x:fill>
  </x:fills>
  <x:borders count="2">
    <x:border/>
    <x:border>
      <x:left style="thin">
        <x:color rgb="FFD9D9D9"/>
      </x:left>
      <x:right style="thin">
        <x:color rgb="FFD9D9D9"/>
      </x:right>
      <x:top style="thin">
        <x:color rgb="FFD9D9D9"/>
      </x:top>
      <x:bottom style="thin">
        <x:color rgb="FFD9D9D9"/>
      </x:bottom>
    </x:border>
  </x:borders>
  <x:cellStyleXfs count="1">
    <x:xf numFmtId="0" fontId="0" fillId="0" borderId="0">
      <x:alignment vertical="center"/>
    </x:xf>
  </x:cellStyleXfs>
  <x:cellXfs count="45">
    <x:xf numFmtId="0" fontId="0" fillId="0" borderId="0" xfId="0">
      <x:alignment vertical="center"/>
    </x:xf>
    <x:xf numFmtId="0" fontId="1" fillId="0" borderId="0" xfId="0" applyFont="1" applyAlignment="1">
      <x:alignment horizontal="center" vertical="center" wrapText="1"/>
    </x:xf>
    <x:xf numFmtId="0" fontId="2" fillId="0" borderId="0" xfId="0" applyFont="1" applyAlignment="1">
      <x:alignment horizontal="center" vertical="center" wrapText="1"/>
    </x:xf>
    <x:xf numFmtId="176" fontId="3" fillId="0" borderId="1" xfId="0" applyNumberFormat="1" applyFont="1" applyBorder="1">
      <x:alignment vertical="center"/>
    </x:xf>
    <x:xf numFmtId="0" fontId="3" fillId="0" borderId="1" xfId="0" applyFont="1" applyBorder="1" applyAlignment="1">
      <x:alignment horizontal="left" vertical="center"/>
    </x:xf>
    <x:xf numFmtId="0" fontId="3" fillId="0" borderId="1" xfId="0" applyFont="1" applyBorder="1">
      <x:alignment vertical="center"/>
    </x:xf>
    <x:xf numFmtId="4" fontId="3" fillId="0" borderId="1" xfId="0" applyNumberFormat="1" applyFont="1" applyBorder="1" applyAlignment="1">
      <x:alignment horizontal="right" vertical="center"/>
    </x:xf>
    <x:xf numFmtId="0" fontId="5" fillId="0" borderId="0" xfId="0" applyFont="1" applyAlignment="1">
      <x:alignment horizontal="center" vertical="center" wrapText="1"/>
    </x:xf>
    <x:xf numFmtId="49" fontId="5" fillId="0" borderId="0" xfId="0" applyNumberFormat="1" applyFont="1" applyAlignment="1">
      <x:alignment horizontal="center" vertical="center" wrapText="1"/>
    </x:xf>
    <x:xf numFmtId="4" fontId="6" fillId="0" borderId="1" xfId="0" applyNumberFormat="1" applyFont="1" applyBorder="1" applyAlignment="1">
      <x:alignment horizontal="right" vertical="center"/>
    </x:xf>
    <x:xf numFmtId="177" fontId="6" fillId="0" borderId="1" xfId="0" applyNumberFormat="1" applyFont="1" applyBorder="1" applyAlignment="1">
      <x:alignment horizontal="right" vertical="center"/>
    </x:xf>
    <x:xf numFmtId="4" fontId="5" fillId="2" borderId="1" xfId="0" applyNumberFormat="1" applyFont="1" applyFill="1" applyBorder="1" applyAlignment="1">
      <x:alignment horizontal="right" vertical="center"/>
    </x:xf>
    <x:xf numFmtId="177" fontId="5" fillId="2" borderId="1" xfId="0" applyNumberFormat="1" applyFont="1" applyFill="1" applyBorder="1" applyAlignment="1">
      <x:alignment horizontal="right" vertical="center"/>
    </x:xf>
    <x:xf numFmtId="4" fontId="6" fillId="0" borderId="0" xfId="0" applyNumberFormat="1" applyFont="1" applyAlignment="1">
      <x:alignment horizontal="right" vertical="center"/>
    </x:xf>
    <x:xf numFmtId="177" fontId="6" fillId="0" borderId="0" xfId="0" applyNumberFormat="1" applyFont="1" applyAlignment="1">
      <x:alignment horizontal="right" vertical="center"/>
    </x:xf>
    <x:xf numFmtId="10" fontId="5" fillId="0" borderId="0" xfId="0" applyNumberFormat="1" applyFont="1" applyAlignment="1">
      <x:alignment horizontal="center" vertical="center" wrapText="1"/>
    </x:xf>
    <x:xf numFmtId="10" fontId="6" fillId="0" borderId="1" xfId="0" applyNumberFormat="1" applyFont="1" applyBorder="1" applyAlignment="1">
      <x:alignment horizontal="right" vertical="center"/>
    </x:xf>
    <x:xf numFmtId="10" fontId="5" fillId="2" borderId="1" xfId="0" applyNumberFormat="1" applyFont="1" applyFill="1" applyBorder="1" applyAlignment="1">
      <x:alignment horizontal="right" vertical="center"/>
    </x:xf>
    <x:xf numFmtId="10" fontId="6" fillId="0" borderId="0" xfId="0" applyNumberFormat="1" applyFont="1" applyAlignment="1">
      <x:alignment horizontal="right" vertical="center"/>
    </x:xf>
    <x:xf numFmtId="10" fontId="3" fillId="0" borderId="1" xfId="0" applyNumberFormat="1" applyFont="1" applyBorder="1">
      <x:alignment vertical="center"/>
    </x:xf>
    <x:xf numFmtId="10" fontId="0" fillId="0" borderId="0" xfId="0" applyNumberFormat="1">
      <x:alignment vertical="center"/>
    </x:xf>
    <x:xf numFmtId="0" fontId="3" fillId="0" borderId="1" xfId="0" applyFont="1" applyBorder="1" applyAlignment="1">
      <x:alignment horizontal="right" vertical="center"/>
    </x:xf>
    <x:xf numFmtId="0" fontId="0" fillId="0" borderId="0" xfId="0" applyAlignment="1">
      <x:alignment horizontal="right" vertical="center"/>
    </x:xf>
    <x:xf numFmtId="0" fontId="6" fillId="0" borderId="1" xfId="0" applyFont="1" applyBorder="1" applyAlignment="1">
      <x:alignment horizontal="center" vertical="center"/>
    </x:xf>
    <x:xf numFmtId="0" fontId="5" fillId="2" borderId="1" xfId="0" applyFont="1" applyFill="1" applyBorder="1" applyAlignment="1">
      <x:alignment horizontal="center" vertical="center"/>
    </x:xf>
    <x:xf numFmtId="0" fontId="6" fillId="0" borderId="0" xfId="0" applyFont="1" applyAlignment="1">
      <x:alignment horizontal="center" vertical="center"/>
    </x:xf>
    <x:xf numFmtId="0" fontId="3" fillId="0" borderId="1" xfId="0" applyFont="1" applyBorder="1" applyAlignment="1">
      <x:alignment horizontal="center" vertical="center"/>
    </x:xf>
    <x:xf numFmtId="0" fontId="0" fillId="0" borderId="0" xfId="0" applyAlignment="1">
      <x:alignment horizontal="center" vertical="center"/>
    </x:xf>
    <x:xf numFmtId="49" fontId="6" fillId="0" borderId="1" xfId="0" applyNumberFormat="1" applyFont="1" applyBorder="1" applyAlignment="1">
      <x:alignment horizontal="center" vertical="center"/>
    </x:xf>
    <x:xf numFmtId="49" fontId="5" fillId="2" borderId="1" xfId="0" applyNumberFormat="1" applyFont="1" applyFill="1" applyBorder="1" applyAlignment="1">
      <x:alignment horizontal="center" vertical="center"/>
    </x:xf>
    <x:xf numFmtId="49" fontId="6" fillId="0" borderId="0" xfId="0" applyNumberFormat="1" applyFont="1" applyAlignment="1">
      <x:alignment horizontal="center" vertical="center"/>
    </x:xf>
    <x:xf numFmtId="49" fontId="3" fillId="0" borderId="1" xfId="0" applyNumberFormat="1" applyFont="1" applyBorder="1" applyAlignment="1">
      <x:alignment horizontal="center" vertical="center"/>
    </x:xf>
    <x:xf numFmtId="49" fontId="0" fillId="0" borderId="0" xfId="0" applyNumberFormat="1" applyAlignment="1">
      <x:alignment horizontal="center" vertical="center"/>
    </x:xf>
    <x:xf numFmtId="200" fontId="3" fillId="0" borderId="1" xfId="0" applyNumberFormat="1" applyFont="1" applyFill="1" applyBorder="1" applyAlignment="1">
      <x:alignment horizontal="right" vertical="center"/>
    </x:xf>
    <x:xf numFmtId="200" fontId="1" fillId="2" borderId="1" xfId="0" applyNumberFormat="1" applyFont="1" applyFill="1" applyBorder="1" applyAlignment="1">
      <x:alignment horizontal="right" vertical="center"/>
    </x:xf>
    <x:xf numFmtId="200" fontId="3" fillId="0" borderId="0" xfId="0" applyNumberFormat="1" applyFont="1" applyFill="1" applyBorder="1" applyAlignment="1">
      <x:alignment horizontal="right" vertical="center"/>
    </x:xf>
    <x:xf numFmtId="177" fontId="3" fillId="0" borderId="1" xfId="0" applyNumberFormat="1" applyFont="1" applyFill="1" applyBorder="1" applyAlignment="1">
      <x:alignment horizontal="right" vertical="center"/>
    </x:xf>
    <x:xf numFmtId="177" fontId="1" fillId="2" borderId="1" xfId="0" applyNumberFormat="1" applyFont="1" applyFill="1" applyBorder="1" applyAlignment="1">
      <x:alignment horizontal="right" vertical="center"/>
    </x:xf>
    <x:xf numFmtId="177" fontId="3" fillId="0" borderId="0" xfId="0" applyNumberFormat="1" applyFont="1" applyFill="1" applyBorder="1" applyAlignment="1">
      <x:alignment horizontal="right" vertical="center"/>
    </x:xf>
    <x:xf numFmtId="0" fontId="1" fillId="2" borderId="1" xfId="0" applyNumberFormat="1" applyFont="1" applyFill="1" applyBorder="1" applyAlignment="1">
      <x:alignment horizontal="center" vertical="center"/>
    </x:xf>
    <x:xf numFmtId="49" fontId="1" fillId="2" borderId="1" xfId="0" applyNumberFormat="1" applyFont="1" applyFill="1" applyBorder="1" applyAlignment="1">
      <x:alignment horizontal="center" vertical="center"/>
    </x:xf>
    <x:xf numFmtId="0" fontId="1" fillId="3" borderId="1" xfId="0" applyNumberFormat="1" applyFont="1" applyFill="1" applyBorder="1" applyAlignment="1">
      <x:alignment horizontal="center" vertical="center"/>
    </x:xf>
    <x:xf numFmtId="49" fontId="1" fillId="3" borderId="1" xfId="0" applyNumberFormat="1" applyFont="1" applyFill="1" applyBorder="1" applyAlignment="1">
      <x:alignment horizontal="center" vertical="center"/>
    </x:xf>
    <x:xf numFmtId="200" fontId="1" fillId="3" borderId="1" xfId="0" applyNumberFormat="1" applyFont="1" applyFill="1" applyBorder="1" applyAlignment="1">
      <x:alignment horizontal="right" vertical="center"/>
    </x:xf>
    <x:xf numFmtId="177" fontId="1" fillId="3" borderId="1" xfId="0" applyNumberFormat="1" applyFont="1" applyFill="1" applyBorder="1" applyAlignment="1">
      <x:alignment horizontal="right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1c2adf618a842bc" /><Relationship Type="http://schemas.openxmlformats.org/officeDocument/2006/relationships/theme" Target="/xl/theme/theme1.xml" Id="R6f84ce1d750f4c92" /><Relationship Type="http://schemas.openxmlformats.org/officeDocument/2006/relationships/sharedStrings" Target="/xl/sharedStrings.xml" Id="R86b2e754e8184452" /><Relationship Type="http://schemas.openxmlformats.org/officeDocument/2006/relationships/worksheet" Target="/xl/worksheets/sheet1.xml" Id="R1b949c389d394a57" /><Relationship Type="http://schemas.openxmlformats.org/officeDocument/2006/relationships/worksheet" Target="/xl/worksheets/sheet2.xml" Id="R26c9587d94a54fc6" /><Relationship Type="http://schemas.openxmlformats.org/officeDocument/2006/relationships/worksheet" Target="/xl/worksheets/sheet3.xml" Id="R56d4b21ce66b4b38" /><Relationship Type="http://schemas.openxmlformats.org/officeDocument/2006/relationships/worksheet" Target="/xl/worksheets/sheet4.xml" Id="Rd988eedebcd24d69" /><Relationship Type="http://schemas.openxmlformats.org/officeDocument/2006/relationships/worksheet" Target="/xl/worksheets/sheet5.xml" Id="R8a7a85dbdafe470c" 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/>
            </a:gs>
            <a:gs pos="100000">
              <a:schemeClr val="phClr"/>
            </a:gs>
          </a:gsLst>
          <a:lin ang="2700000" scaled="0"/>
        </a:gradFill>
      </a:fillStyleLst>
      <a:lnStyleLst>
        <a:ln w="12700">
          <a:solidFill>
            <a:schemeClr val="phClr"/>
          </a:solidFill>
          <a:prstDash val="solid"/>
        </a:ln>
        <a:ln w="12700">
          <a:solidFill>
            <a:schemeClr val="phClr"/>
          </a:solidFill>
          <a:prstDash val="solid"/>
        </a:ln>
        <a:ln w="12700">
          <a:gradFill>
            <a:gsLst>
              <a:gs pos="0">
                <a:schemeClr val="phClr"/>
              </a:gs>
              <a:gs pos="100000">
                <a:schemeClr val="phClr"/>
              </a:gs>
            </a:gsLst>
            <a:lin ang="2700000" scaled="1"/>
          </a:gradFill>
          <a:prstDash val="solid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8.88671875" defaultRowHeight="14.399999618530273"/>
  <x:cols>
    <x:col min="1" max="1" width="17.77734375" style="27" customWidth="1"/>
    <x:col min="2" max="2" width="13.5546875" style="32" customWidth="1"/>
    <x:col min="3" max="3" width="57.44140625" style="27" customWidth="1"/>
    <x:col min="4" max="4" width="19.77734375" style="22" customWidth="1"/>
    <x:col min="5" max="5" width="19.77734375" customWidth="1"/>
    <x:col min="6" max="6" width="14.33203125" customWidth="1"/>
    <x:col min="7" max="7" width="20.88671875" customWidth="1"/>
    <x:col min="8" max="8" width="20.88671875" style="20" customWidth="1"/>
  </x:cols>
  <x:sheetData>
    <x:row r="1" ht="25.799999237060547">
      <x:c r="A1" s="7" t="s">
        <x:v>0</x:v>
      </x:c>
      <x:c r="B1" s="8" t="s">
        <x:v>1</x:v>
      </x:c>
      <x:c r="C1" s="7" t="s">
        <x:v>2</x:v>
      </x:c>
      <x:c r="D1" s="7" t="s">
        <x:v>3</x:v>
      </x:c>
      <x:c r="E1" s="7" t="s">
        <x:v>4</x:v>
      </x:c>
      <x:c r="F1" s="7" t="s">
        <x:v>5</x:v>
      </x:c>
      <x:c r="G1" s="7" t="s">
        <x:v>6</x:v>
      </x:c>
      <x:c r="H1" s="15" t="s">
        <x:v>7</x:v>
      </x:c>
    </x:row>
    <x:row r="2" ht="25.799999237060547">
      <x:c r="A2" s="23" t="s">
        <x:v>8</x:v>
      </x:c>
      <x:c r="B2" s="28" t="s">
        <x:v>9</x:v>
      </x:c>
      <x:c r="C2" s="23" t="s">
        <x:v>10</x:v>
      </x:c>
      <x:c r="D2" s="33" t="n">
        <x:v>2589.59</x:v>
      </x:c>
      <x:c r="E2" s="33" t="n">
        <x:f>SUMIFS('指数'!$E$2:$E$200,'指数'!$C$2:$C$200,$B2,'指数'!$D$2:$D$200,"买入")</x:f>
        <x:v>2625</x:v>
      </x:c>
      <x:c r="F2" s="36" t="n">
        <x:f t="shared" ref="F2" si="0">IFERROR(D2/$D$8,0)</x:f>
        <x:v>0.42750709047746394</x:v>
      </x:c>
      <x:c r="G2" s="33" t="n">
        <x:f t="shared" ref="G2:G7" si="1">D2-E2</x:f>
        <x:v>-35.409999999999854</x:v>
      </x:c>
      <x:c r="H2" s="36" t="n">
        <x:f>IFERROR(G2/E2,0)</x:f>
        <x:v>-0.013489523809523753</x:v>
      </x:c>
    </x:row>
    <x:row r="3" ht="25.799999237060547">
      <x:c r="A3" s="23" t="s">
        <x:v>8</x:v>
      </x:c>
      <x:c r="B3" s="28" t="s">
        <x:v>11</x:v>
      </x:c>
      <x:c r="C3" s="23" t="s">
        <x:v>12</x:v>
      </x:c>
      <x:c r="D3" s="33" t="n">
        <x:v>391.96</x:v>
      </x:c>
      <x:c r="E3" s="33" t="n">
        <x:f>SUMIFS('指数'!$E$2:$E$200,'指数'!$C$2:$C$200,$B3,'指数'!$D$2:$D$200,"买入")</x:f>
        <x:v>371.8</x:v>
      </x:c>
      <x:c r="F3" s="36" t="n">
        <x:f t="shared" ref="F3" si="2">IFERROR(D3/$D$8,0)</x:f>
        <x:v>0.06470741668895337</x:v>
      </x:c>
      <x:c r="G3" s="33" t="n">
        <x:f t="shared" si="1">D3-E3</x:f>
        <x:v>20.159999999999968</x:v>
      </x:c>
      <x:c r="H3" s="36" t="n">
        <x:f t="shared" ref="H3:H8" si="3">IFERROR(G3/E3,0)</x:f>
        <x:v>0.054222700376546445</x:v>
      </x:c>
    </x:row>
    <x:row r="4" ht="25.799999237060547">
      <x:c r="A4" s="23" t="s">
        <x:v>8</x:v>
      </x:c>
      <x:c r="B4" s="28" t="s">
        <x:v>13</x:v>
      </x:c>
      <x:c r="C4" s="23" t="s">
        <x:v>14</x:v>
      </x:c>
      <x:c r="D4" s="33" t="n">
        <x:v>127.32</x:v>
      </x:c>
      <x:c r="E4" s="33" t="n">
        <x:f>SUMIFS('指数'!$E$2:$E$200,'指数'!$C$2:$C$200,$B4,'指数'!$D$2:$D$200,"买入")</x:f>
        <x:v>125</x:v>
      </x:c>
      <x:c r="F4" s="36" t="n">
        <x:f t="shared" ref="F4" si="4">IFERROR(D4/$D$8,0)</x:f>
        <x:v>0.02101884960923957</x:v>
      </x:c>
      <x:c r="G4" s="33" t="n">
        <x:f t="shared" si="1">D4-E4</x:f>
        <x:v>2.319999999999993</x:v>
      </x:c>
      <x:c r="H4" s="36" t="n">
        <x:f t="shared" si="3">IFERROR(G4/E4,0)</x:f>
        <x:v>0.018559999999999945</x:v>
      </x:c>
    </x:row>
    <x:row r="5" ht="25.799999237060547">
      <x:c r="A5" s="23" t="s">
        <x:v>8</x:v>
      </x:c>
      <x:c r="B5" s="28" t="s">
        <x:v>15</x:v>
      </x:c>
      <x:c r="C5" s="23" t="s">
        <x:v>16</x:v>
      </x:c>
      <x:c r="D5" s="33" t="n">
        <x:v>189.29</x:v>
      </x:c>
      <x:c r="E5" s="33" t="n">
        <x:f>SUMIFS('指数'!$E$2:$E$200,'指数'!$C$2:$C$200,$B5,'指数'!$D$2:$D$200,"买入")</x:f>
        <x:v>188</x:v>
      </x:c>
      <x:c r="F5" s="36" t="n">
        <x:f t="shared" ref="F5" si="5">IFERROR(D5/$D$8,0)</x:f>
        <x:v>0.031249277745310704</x:v>
      </x:c>
      <x:c r="G5" s="33" t="n">
        <x:f t="shared" si="1">D5-E5</x:f>
        <x:v>1.289999999999992</x:v>
      </x:c>
      <x:c r="H5" s="36" t="n">
        <x:f t="shared" si="3">IFERROR(G5/E5,0)</x:f>
        <x:v>0.006861702127659532</x:v>
      </x:c>
    </x:row>
    <x:row r="6" ht="25.799999237060547">
      <x:c r="A6" s="23" t="s">
        <x:v>8</x:v>
      </x:c>
      <x:c r="B6" s="28" t="s">
        <x:v>17</x:v>
      </x:c>
      <x:c r="C6" s="23" t="s">
        <x:v>18</x:v>
      </x:c>
      <x:c r="D6" s="33" t="n">
        <x:v>1233.63</x:v>
      </x:c>
      <x:c r="E6" s="33" t="n">
        <x:f>SUMIFS('指数'!$E$2:$E$200,'指数'!$C$2:$C$200,$B6,'指数'!$D$2:$D$200,"买入")</x:f>
        <x:v>1187</x:v>
      </x:c>
      <x:c r="F6" s="36" t="n">
        <x:f t="shared" ref="F6" si="6">IFERROR(D6/$D$8,0)</x:f>
        <x:v>0.20365601196549024</x:v>
      </x:c>
      <x:c r="G6" s="33" t="n">
        <x:f t="shared" si="1">D6-E6</x:f>
        <x:v>46.63000000000011</x:v>
      </x:c>
      <x:c r="H6" s="36" t="n">
        <x:f t="shared" si="3">IFERROR(G6/E6,0)</x:f>
        <x:v>0.03928390901432191</x:v>
      </x:c>
    </x:row>
    <x:row r="7" ht="25.799999237060547">
      <x:c r="A7" s="23" t="s">
        <x:v>8</x:v>
      </x:c>
      <x:c r="B7" s="28" t="s">
        <x:v>19</x:v>
      </x:c>
      <x:c r="C7" s="23" t="s">
        <x:v>20</x:v>
      </x:c>
      <x:c r="D7" s="33" t="n">
        <x:v>1525.63</x:v>
      </x:c>
      <x:c r="E7" s="33" t="n">
        <x:f>SUMIFS('指数'!$E$2:$E$200,'指数'!$C$2:$C$200,$B7,'指数'!$D$2:$D$200,"买入")</x:f>
        <x:v>1500</x:v>
      </x:c>
      <x:c r="F7" s="36" t="n">
        <x:f t="shared" ref="F7" si="7">IFERROR(D7/$D$8,0)</x:f>
        <x:v>0.25186135351354205</x:v>
      </x:c>
      <x:c r="G7" s="33" t="n">
        <x:f t="shared" si="1">D7-E7</x:f>
        <x:v>25.63000000000011</x:v>
      </x:c>
      <x:c r="H7" s="36" t="n">
        <x:f t="shared" si="3">IFERROR(G7/E7,0)</x:f>
        <x:v>0.01708666666666674</x:v>
      </x:c>
    </x:row>
    <x:row r="8" ht="25.799999237060547">
      <x:c r="A8" s="41" t="s">
        <x:v>21</x:v>
      </x:c>
      <x:c r="B8" s="42"/>
      <x:c r="C8" s="41"/>
      <x:c r="D8" s="43" t="n">
        <x:f>SUM(D2:D7)</x:f>
        <x:v>6057.420000000001</x:v>
      </x:c>
      <x:c r="E8" s="43" t="n">
        <x:f>SUM(E2:E7)</x:f>
        <x:v>5996.8</x:v>
      </x:c>
      <x:c r="F8" s="44" t="n">
        <x:f>SUM(F2:F7)</x:f>
        <x:v>0.9999999999999998</x:v>
      </x:c>
      <x:c r="G8" s="43" t="n">
        <x:f>SUM(G2:G7)</x:f>
        <x:v>60.62000000000032</x:v>
      </x:c>
      <x:c r="H8" s="44" t="n">
        <x:f t="shared" si="3">IFERROR(G8/E8,0)</x:f>
        <x:v>0.010108724653148398</x:v>
      </x:c>
    </x:row>
    <x:row r="9" ht="25.799999237060547">
      <x:c r="A9" s="23" t="s">
        <x:v>22</x:v>
      </x:c>
      <x:c r="B9" s="28" t="s">
        <x:v>23</x:v>
      </x:c>
      <x:c r="C9" s="23" t="s">
        <x:v>24</x:v>
      </x:c>
      <x:c r="D9" s="33" t="n">
        <x:v>334.01</x:v>
      </x:c>
      <x:c r="E9" s="33" t="n">
        <x:f>SUMIFS('量化'!$E$2:$E$200,'量化'!$C$2:$C$200,$B9,'量化'!$D$2:$D$200,"买入")</x:f>
        <x:v>334.01</x:v>
      </x:c>
      <x:c r="F9" s="36" t="n">
        <x:f>IFERROR(D9/$D$12,0)</x:f>
        <x:v>0.3340066599334007</x:v>
      </x:c>
      <x:c r="G9" s="33" t="n">
        <x:f>D9-E9</x:f>
        <x:v>0</x:v>
      </x:c>
      <x:c r="H9" s="36" t="n">
        <x:f>IFERROR(G9/E9,0)</x:f>
        <x:v>0</x:v>
      </x:c>
    </x:row>
    <x:row r="10" ht="25.799999237060547">
      <x:c r="A10" s="23" t="s">
        <x:v>22</x:v>
      </x:c>
      <x:c r="B10" s="28" t="s">
        <x:v>25</x:v>
      </x:c>
      <x:c r="C10" s="23" t="s">
        <x:v>26</x:v>
      </x:c>
      <x:c r="D10" s="33" t="n">
        <x:v>333</x:v>
      </x:c>
      <x:c r="E10" s="33" t="n">
        <x:f>SUMIFS('量化'!$E$2:$E$200,'量化'!$C$2:$C$200,$B10,'量化'!$D$2:$D$200,"买入")</x:f>
        <x:v>333</x:v>
      </x:c>
      <x:c r="F10" s="36" t="n">
        <x:f>IFERROR(D10/$D$12,0)</x:f>
        <x:v>0.3329966700332997</x:v>
      </x:c>
      <x:c r="G10" s="33" t="n">
        <x:f>D10-E10</x:f>
        <x:v>0</x:v>
      </x:c>
      <x:c r="H10" s="36" t="n">
        <x:f>IFERROR(G10/E10,0)</x:f>
        <x:v>0</x:v>
      </x:c>
    </x:row>
    <x:row r="11" ht="25.799999237060547">
      <x:c r="A11" s="23" t="s">
        <x:v>22</x:v>
      </x:c>
      <x:c r="B11" s="28" t="s">
        <x:v>27</x:v>
      </x:c>
      <x:c r="C11" s="23" t="s">
        <x:v>28</x:v>
      </x:c>
      <x:c r="D11" s="33" t="n">
        <x:v>333</x:v>
      </x:c>
      <x:c r="E11" s="33" t="n">
        <x:f>SUMIFS('量化'!$E$2:$E$200,'量化'!$C$2:$C$200,$B11,'量化'!$D$2:$D$200,"买入")</x:f>
        <x:v>333</x:v>
      </x:c>
      <x:c r="F11" s="36" t="n">
        <x:f>IFERROR(D11/$D$12,0)</x:f>
        <x:v>0.3329966700332997</x:v>
      </x:c>
      <x:c r="G11" s="33" t="n">
        <x:f>D11-E11</x:f>
        <x:v>0</x:v>
      </x:c>
      <x:c r="H11" s="36" t="n">
        <x:f>IFERROR(G11/E11,0)</x:f>
        <x:v>0</x:v>
      </x:c>
    </x:row>
    <x:row r="12" ht="25.799999237060547">
      <x:c r="A12" s="41" t="s">
        <x:v>29</x:v>
      </x:c>
      <x:c r="B12" s="42"/>
      <x:c r="C12" s="41"/>
      <x:c r="D12" s="43" t="n">
        <x:f>SUM(D9:D11)</x:f>
        <x:v>1000.01</x:v>
      </x:c>
      <x:c r="E12" s="43" t="n">
        <x:f>SUM(E9:E11)</x:f>
        <x:v>1000.01</x:v>
      </x:c>
      <x:c r="F12" s="44" t="n">
        <x:f>SUM(F9:F11)</x:f>
        <x:v>1</x:v>
      </x:c>
      <x:c r="G12" s="43" t="n">
        <x:f>SUM(G9:G11)</x:f>
        <x:v>0</x:v>
      </x:c>
      <x:c r="H12" s="44" t="n">
        <x:f>IFERROR(G12/E12,0)</x:f>
        <x:v>0</x:v>
      </x:c>
    </x:row>
    <x:row r="13" ht="25.799999237060547">
      <x:c r="A13" s="23" t="s">
        <x:v>30</x:v>
      </x:c>
      <x:c r="B13" s="30"/>
      <x:c r="C13" s="25"/>
      <x:c r="D13" s="35"/>
      <x:c r="E13" s="35" t="n">
        <x:f>SUMIFS('行业'!$E$2:$E$200,'行业'!$C$2:$C$200,$B13,'行业'!$D$2:$D$200,"买入")</x:f>
        <x:v>0</x:v>
      </x:c>
      <x:c r="F13" s="38" t="n">
        <x:f>IFERROR(D13/$D$16,0)</x:f>
        <x:v>0</x:v>
      </x:c>
      <x:c r="G13" s="35" t="n">
        <x:f>D13-E13</x:f>
        <x:v>0</x:v>
      </x:c>
      <x:c r="H13" s="38" t="n">
        <x:f>IFERROR(G13/E13,0)</x:f>
        <x:v>0</x:v>
      </x:c>
    </x:row>
    <x:row r="14" ht="25.799999237060547">
      <x:c r="A14" s="23" t="s">
        <x:v>30</x:v>
      </x:c>
      <x:c r="B14" s="30"/>
      <x:c r="C14" s="25"/>
      <x:c r="D14" s="35"/>
      <x:c r="E14" s="35" t="n">
        <x:f>SUMIFS('行业'!$E$2:$E$200,'行业'!$C$2:$C$200,$B14,'行业'!$D$2:$D$200,"买入")</x:f>
        <x:v>0</x:v>
      </x:c>
      <x:c r="F14" s="38" t="n">
        <x:f>IFERROR(D14/$D$16,0)</x:f>
        <x:v>0</x:v>
      </x:c>
      <x:c r="G14" s="35" t="n">
        <x:f>D14-E14</x:f>
        <x:v>0</x:v>
      </x:c>
      <x:c r="H14" s="38" t="n">
        <x:f>IFERROR(G14/E14,0)</x:f>
        <x:v>0</x:v>
      </x:c>
    </x:row>
    <x:row r="15" ht="25.799999237060547">
      <x:c r="A15" s="23" t="s">
        <x:v>30</x:v>
      </x:c>
      <x:c r="B15" s="30"/>
      <x:c r="C15" s="25"/>
      <x:c r="D15" s="35"/>
      <x:c r="E15" s="35" t="n">
        <x:f>SUMIFS('行业'!$E$2:$E$200,'行业'!$C$2:$C$200,$B15,'行业'!$D$2:$D$200,"买入")</x:f>
        <x:v>0</x:v>
      </x:c>
      <x:c r="F15" s="38" t="n">
        <x:f>IFERROR(D15/$D$16,0)</x:f>
        <x:v>0</x:v>
      </x:c>
      <x:c r="G15" s="35" t="n">
        <x:f>D15-E15</x:f>
        <x:v>0</x:v>
      </x:c>
      <x:c r="H15" s="38" t="n">
        <x:f>IFERROR(G15/E15,0)</x:f>
        <x:v>0</x:v>
      </x:c>
    </x:row>
    <x:row r="16" ht="25.799999237060547">
      <x:c r="A16" s="41" t="s">
        <x:v>31</x:v>
      </x:c>
      <x:c r="B16" s="42"/>
      <x:c r="C16" s="41"/>
      <x:c r="D16" s="43" t="n">
        <x:f>SUM(D13:D15)</x:f>
        <x:v>0</x:v>
      </x:c>
      <x:c r="E16" s="43" t="n">
        <x:f>SUM(E13:E15)</x:f>
        <x:v>0</x:v>
      </x:c>
      <x:c r="F16" s="44" t="n">
        <x:f>SUM(F13:F15)</x:f>
        <x:v>0</x:v>
      </x:c>
      <x:c r="G16" s="43" t="n">
        <x:f>SUM(G13:G15)</x:f>
        <x:v>0</x:v>
      </x:c>
      <x:c r="H16" s="44" t="n">
        <x:f>IFERROR(G16/E16,0)</x:f>
        <x:v>0</x:v>
      </x:c>
    </x:row>
    <x:row r="17" ht="25.799999237060547">
      <x:c r="A17" s="23" t="s">
        <x:v>32</x:v>
      </x:c>
      <x:c r="B17" s="28" t="s">
        <x:v>33</x:v>
      </x:c>
      <x:c r="C17" s="23" t="s">
        <x:v>34</x:v>
      </x:c>
      <x:c r="D17" s="33" t="n">
        <x:v>9000</x:v>
      </x:c>
      <x:c r="E17" s="33" t="n">
        <x:f>SUMIFS('其他'!$E$2:$E$200,'其他'!$C$2:$C$200,$B17,'其他'!$D$2:$D$200,"买入")</x:f>
        <x:v>9000</x:v>
      </x:c>
      <x:c r="F17" s="36" t="n">
        <x:f>IFERROR(D17/$D$17,0)</x:f>
        <x:v>1</x:v>
      </x:c>
      <x:c r="G17" s="33" t="n">
        <x:f>D17-E17</x:f>
        <x:v>0</x:v>
      </x:c>
      <x:c r="H17" s="36" t="n">
        <x:f>IFERROR(G17/E17,0)</x:f>
        <x:v>0</x:v>
      </x:c>
    </x:row>
    <x:row r="18" ht="25.799999237060547">
      <x:c r="A18" s="41" t="s">
        <x:v>35</x:v>
      </x:c>
      <x:c r="B18" s="42" t="s">
        <x:v>36</x:v>
      </x:c>
      <x:c r="C18" s="41"/>
      <x:c r="D18" s="43" t="n">
        <x:f>D8+D12+D16+D17</x:f>
        <x:v>16057.43</x:v>
      </x:c>
      <x:c r="E18" s="43" t="n">
        <x:f>E8+E12+E16+E17</x:f>
        <x:v>15996.810000000001</x:v>
      </x:c>
      <x:c r="F18" s="44"/>
      <x:c r="G18" s="43" t="n">
        <x:f>G8+G12+G16+G17</x:f>
        <x:v>60.62000000000032</x:v>
      </x:c>
      <x:c r="H18" s="44"/>
    </x:row>
    <x:row r="19" ht="25.799999237060547">
      <x:c r="A19" s="26"/>
      <x:c r="B19" s="31"/>
      <x:c r="C19" s="26"/>
      <x:c r="D19" s="21"/>
      <x:c r="E19" s="5"/>
      <x:c r="F19" s="5"/>
      <x:c r="G19" s="5"/>
      <x:c r="H19" s="19"/>
    </x:row>
    <x:row r="20" ht="25.799999237060547">
      <x:c r="A20" s="26"/>
      <x:c r="B20" s="31"/>
      <x:c r="C20" s="26"/>
      <x:c r="D20" s="21"/>
      <x:c r="E20" s="5"/>
      <x:c r="F20" s="5"/>
      <x:c r="G20" s="5"/>
      <x:c r="H20" s="19"/>
    </x:row>
    <x:row r="21" ht="25.799999237060547">
      <x:c r="A21" s="26"/>
      <x:c r="B21" s="31"/>
      <x:c r="C21" s="26"/>
      <x:c r="D21" s="21"/>
      <x:c r="E21" s="5"/>
      <x:c r="F21" s="5"/>
      <x:c r="G21" s="5"/>
      <x:c r="H21" s="19"/>
    </x:row>
    <x:row r="22" ht="25.799999237060547">
      <x:c r="A22" s="26"/>
      <x:c r="B22" s="31"/>
      <x:c r="C22" s="26"/>
      <x:c r="D22" s="21"/>
      <x:c r="E22" s="5"/>
      <x:c r="F22" s="5"/>
      <x:c r="G22" s="5"/>
      <x:c r="H22" s="19"/>
    </x:row>
    <x:row r="23" ht="25.799999237060547">
      <x:c r="A23" s="26"/>
      <x:c r="B23" s="31"/>
      <x:c r="C23" s="26"/>
      <x:c r="D23" s="21"/>
      <x:c r="E23" s="5"/>
      <x:c r="F23" s="5"/>
      <x:c r="G23" s="5"/>
      <x:c r="H23" s="19"/>
    </x:row>
    <x:row r="24" ht="25.799999237060547">
      <x:c r="A24" s="26"/>
      <x:c r="B24" s="31"/>
      <x:c r="C24" s="26"/>
      <x:c r="D24" s="21"/>
      <x:c r="E24" s="5"/>
      <x:c r="F24" s="5"/>
      <x:c r="G24" s="5"/>
      <x:c r="H24" s="19"/>
    </x:row>
    <x:row r="25" ht="25.799999237060547">
      <x:c r="A25" s="26"/>
      <x:c r="B25" s="31"/>
      <x:c r="C25" s="26"/>
      <x:c r="D25" s="21"/>
      <x:c r="E25" s="5"/>
      <x:c r="F25" s="5"/>
      <x:c r="G25" s="5"/>
      <x:c r="H25" s="19"/>
    </x:row>
    <x:row r="26" ht="25.799999237060547">
      <x:c r="A26" s="26"/>
      <x:c r="B26" s="31"/>
      <x:c r="C26" s="26"/>
      <x:c r="D26" s="21"/>
      <x:c r="E26" s="5"/>
      <x:c r="F26" s="5"/>
      <x:c r="G26" s="5"/>
      <x:c r="H26" s="19"/>
    </x:row>
    <x:row r="27" ht="25.799999237060547">
      <x:c r="A27" s="26"/>
      <x:c r="B27" s="31"/>
      <x:c r="C27" s="26"/>
      <x:c r="D27" s="21"/>
      <x:c r="E27" s="5"/>
      <x:c r="F27" s="5"/>
      <x:c r="G27" s="5"/>
      <x:c r="H27" s="19"/>
    </x:row>
    <x:row r="28" ht="25.799999237060547">
      <x:c r="A28" s="26"/>
      <x:c r="B28" s="31"/>
      <x:c r="C28" s="26"/>
      <x:c r="D28" s="21"/>
      <x:c r="E28" s="5"/>
      <x:c r="F28" s="5"/>
      <x:c r="G28" s="5"/>
      <x:c r="H28" s="19"/>
    </x:row>
    <x:row r="29" ht="25.799999237060547">
      <x:c r="A29" s="26"/>
      <x:c r="B29" s="31"/>
      <x:c r="C29" s="26"/>
      <x:c r="D29" s="21"/>
      <x:c r="E29" s="5"/>
      <x:c r="F29" s="5"/>
      <x:c r="G29" s="5"/>
      <x:c r="H29" s="19"/>
    </x:row>
    <x:row r="30" ht="25.799999237060547">
      <x:c r="A30" s="26"/>
      <x:c r="B30" s="31"/>
      <x:c r="C30" s="26"/>
      <x:c r="D30" s="21"/>
      <x:c r="E30" s="5"/>
      <x:c r="F30" s="5"/>
      <x:c r="G30" s="5"/>
      <x:c r="H30" s="19"/>
    </x:row>
    <x:row r="31" ht="25.799999237060547">
      <x:c r="A31" s="26"/>
      <x:c r="B31" s="31"/>
      <x:c r="C31" s="26"/>
      <x:c r="D31" s="21"/>
      <x:c r="E31" s="5"/>
      <x:c r="F31" s="5"/>
      <x:c r="G31" s="5"/>
      <x:c r="H31" s="19"/>
    </x:row>
    <x:row r="32" ht="25.799999237060547">
      <x:c r="A32" s="26"/>
      <x:c r="B32" s="31"/>
      <x:c r="C32" s="26"/>
      <x:c r="D32" s="21"/>
      <x:c r="E32" s="5"/>
      <x:c r="F32" s="5"/>
      <x:c r="G32" s="5"/>
      <x:c r="H32" s="19"/>
    </x:row>
    <x:row r="33" ht="25.799999237060547">
      <x:c r="A33" s="26"/>
      <x:c r="B33" s="31"/>
      <x:c r="C33" s="26"/>
      <x:c r="D33" s="21"/>
      <x:c r="E33" s="5"/>
      <x:c r="F33" s="5"/>
      <x:c r="G33" s="5"/>
      <x:c r="H33" s="19"/>
    </x:row>
    <x:row r="34" ht="25.799999237060547">
      <x:c r="A34" s="26"/>
      <x:c r="B34" s="31"/>
      <x:c r="C34" s="26"/>
      <x:c r="D34" s="21"/>
      <x:c r="E34" s="5"/>
      <x:c r="F34" s="5"/>
      <x:c r="G34" s="5"/>
      <x:c r="H34" s="19"/>
    </x:row>
    <x:row r="35" ht="25.799999237060547">
      <x:c r="A35" s="26"/>
      <x:c r="B35" s="31"/>
      <x:c r="C35" s="26"/>
      <x:c r="D35" s="21"/>
      <x:c r="E35" s="5"/>
      <x:c r="F35" s="5"/>
      <x:c r="G35" s="5"/>
      <x:c r="H35" s="19"/>
    </x:row>
    <x:row r="36" ht="25.799999237060547">
      <x:c r="A36" s="26"/>
      <x:c r="B36" s="31"/>
      <x:c r="C36" s="26"/>
      <x:c r="D36" s="21"/>
      <x:c r="E36" s="5"/>
      <x:c r="F36" s="5"/>
      <x:c r="G36" s="5"/>
      <x:c r="H36" s="19"/>
    </x:row>
    <x:row r="37" ht="25.799999237060547">
      <x:c r="A37" s="26"/>
      <x:c r="B37" s="31"/>
      <x:c r="C37" s="26"/>
      <x:c r="D37" s="21"/>
      <x:c r="E37" s="5"/>
      <x:c r="F37" s="5"/>
      <x:c r="G37" s="5"/>
      <x:c r="H37" s="19"/>
    </x:row>
  </x:sheetData>
  <x:dataValidations count="1">
    <x:dataValidation type="list" sqref="D2:D7 D9:D11">
      <x:formula1>"买入,卖出"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9" defaultRowHeight="14.399999618530273"/>
  <x:cols>
    <x:col min="1" max="1" width="21.88671875" customWidth="1"/>
    <x:col min="2" max="2" width="53.6640625" customWidth="1"/>
    <x:col min="3" max="3" width="13.5546875" customWidth="1"/>
    <x:col min="4" max="4" width="9.33203125" customWidth="1"/>
    <x:col min="5" max="5" width="17.77734375" customWidth="1"/>
    <x:col min="6" max="6" width="18" customWidth="1"/>
  </x:cols>
  <x:sheetData>
    <x:row r="1" ht="25.799999237060547">
      <x:c r="A1" s="1" t="s">
        <x:v>37</x:v>
      </x:c>
      <x:c r="B1" s="1" t="s">
        <x:v>2</x:v>
      </x:c>
      <x:c r="C1" s="1" t="s">
        <x:v>1</x:v>
      </x:c>
      <x:c r="D1" s="1" t="s">
        <x:v>38</x:v>
      </x:c>
      <x:c r="E1" s="1" t="s">
        <x:v>39</x:v>
      </x:c>
      <x:c r="F1" s="2"/>
    </x:row>
    <x:row r="2" ht="25.799999237060547">
      <x:c r="A2" s="3">
        <x:v>46206</x:v>
      </x:c>
      <x:c r="B2" s="4" t="s">
        <x:v>10</x:v>
      </x:c>
      <x:c r="C2" s="5" t="s">
        <x:v>9</x:v>
      </x:c>
      <x:c r="D2" s="5" t="s">
        <x:v>40</x:v>
      </x:c>
      <x:c r="E2" s="6">
        <x:v>1000</x:v>
      </x:c>
    </x:row>
    <x:row r="3" ht="25.799999237060547">
      <x:c r="A3" s="3">
        <x:v>46213</x:v>
      </x:c>
      <x:c r="B3" s="4" t="s">
        <x:v>10</x:v>
      </x:c>
      <x:c r="C3" s="5" t="s">
        <x:v>9</x:v>
      </x:c>
      <x:c r="D3" s="5" t="s">
        <x:v>40</x:v>
      </x:c>
      <x:c r="E3" s="6">
        <x:v>1000</x:v>
      </x:c>
    </x:row>
    <x:row r="4" ht="25.799999237060547">
      <x:c r="A4" s="3">
        <x:v>46213</x:v>
      </x:c>
      <x:c r="B4" s="4" t="s">
        <x:v>20</x:v>
      </x:c>
      <x:c r="C4" s="5" t="s">
        <x:v>19</x:v>
      </x:c>
      <x:c r="D4" s="5" t="s">
        <x:v>40</x:v>
      </x:c>
      <x:c r="E4" s="6">
        <x:v>1000</x:v>
      </x:c>
    </x:row>
    <x:row r="5" ht="25.799999237060547">
      <x:c r="A5" s="3">
        <x:v>46213</x:v>
      </x:c>
      <x:c r="B5" s="4" t="s">
        <x:v>18</x:v>
      </x:c>
      <x:c r="C5" s="5" t="s">
        <x:v>17</x:v>
      </x:c>
      <x:c r="D5" s="5" t="s">
        <x:v>40</x:v>
      </x:c>
      <x:c r="E5" s="6">
        <x:v>1000</x:v>
      </x:c>
    </x:row>
    <x:row r="6" ht="25.799999237060547">
      <x:c r="A6" s="3">
        <x:v>46237</x:v>
      </x:c>
      <x:c r="B6" s="4" t="s">
        <x:v>10</x:v>
      </x:c>
      <x:c r="C6" s="5" t="s">
        <x:v>9</x:v>
      </x:c>
      <x:c r="D6" s="5" t="s">
        <x:v>40</x:v>
      </x:c>
      <x:c r="E6" s="6">
        <x:v>625</x:v>
      </x:c>
    </x:row>
    <x:row r="7" ht="25.799999237060547">
      <x:c r="A7" s="3">
        <x:v>46237</x:v>
      </x:c>
      <x:c r="B7" s="4" t="s">
        <x:v>12</x:v>
      </x:c>
      <x:c r="C7" s="5" t="s">
        <x:v>11</x:v>
      </x:c>
      <x:c r="D7" s="5" t="s">
        <x:v>40</x:v>
      </x:c>
      <x:c r="E7" s="6">
        <x:v>371.8</x:v>
      </x:c>
    </x:row>
    <x:row r="8" ht="25.799999237060547">
      <x:c r="A8" s="3">
        <x:v>46237</x:v>
      </x:c>
      <x:c r="B8" s="4" t="s">
        <x:v>14</x:v>
      </x:c>
      <x:c r="C8" s="5" t="s">
        <x:v>13</x:v>
      </x:c>
      <x:c r="D8" s="5" t="s">
        <x:v>40</x:v>
      </x:c>
      <x:c r="E8" s="6">
        <x:v>125</x:v>
      </x:c>
    </x:row>
    <x:row r="9" ht="25.799999237060547">
      <x:c r="A9" s="3">
        <x:v>46237</x:v>
      </x:c>
      <x:c r="B9" s="4" t="s">
        <x:v>16</x:v>
      </x:c>
      <x:c r="C9" s="5" t="s">
        <x:v>15</x:v>
      </x:c>
      <x:c r="D9" s="5" t="s">
        <x:v>40</x:v>
      </x:c>
      <x:c r="E9" s="6">
        <x:v>188</x:v>
      </x:c>
    </x:row>
    <x:row r="10" ht="25.799999237060547">
      <x:c r="A10" s="3">
        <x:v>46237</x:v>
      </x:c>
      <x:c r="B10" s="4" t="s">
        <x:v>18</x:v>
      </x:c>
      <x:c r="C10" s="5" t="s">
        <x:v>17</x:v>
      </x:c>
      <x:c r="D10" s="5" t="s">
        <x:v>40</x:v>
      </x:c>
      <x:c r="E10" s="6">
        <x:v>187</x:v>
      </x:c>
    </x:row>
    <x:row r="11" ht="25.799999237060547">
      <x:c r="A11" s="3">
        <x:v>46237</x:v>
      </x:c>
      <x:c r="B11" s="4" t="s">
        <x:v>20</x:v>
      </x:c>
      <x:c r="C11" s="5" t="s">
        <x:v>19</x:v>
      </x:c>
      <x:c r="D11" s="5" t="s">
        <x:v>40</x:v>
      </x:c>
      <x:c r="E11" s="6">
        <x:v>500</x:v>
      </x:c>
    </x:row>
  </x:sheetData>
  <x:dataValidations count="2">
    <x:dataValidation type="list" sqref="D2:D200">
      <x:formula1>"买入,卖出"</x:formula1>
    </x:dataValidation>
    <x:dataValidation type="list" sqref="D2:D200">
      <x:formula1>"买入,卖出"</x:formula1>
    </x:dataValidation>
  </x:dataValidations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9" defaultRowHeight="14.399999618530273"/>
  <x:cols>
    <x:col min="1" max="1" width="21.88671875" customWidth="1"/>
    <x:col min="2" max="2" width="57.44140625" customWidth="1"/>
    <x:col min="3" max="3" width="13.5546875" customWidth="1"/>
    <x:col min="4" max="4" width="9.5546875" customWidth="1"/>
    <x:col min="5" max="5" width="17.77734375" customWidth="1"/>
    <x:col min="6" max="6" width="18" customWidth="1"/>
  </x:cols>
  <x:sheetData>
    <x:row r="1" ht="25.799999237060547">
      <x:c r="A1" s="1" t="s">
        <x:v>37</x:v>
      </x:c>
      <x:c r="B1" s="1" t="s">
        <x:v>2</x:v>
      </x:c>
      <x:c r="C1" s="1" t="s">
        <x:v>1</x:v>
      </x:c>
      <x:c r="D1" s="1" t="s">
        <x:v>38</x:v>
      </x:c>
      <x:c r="E1" s="1" t="s">
        <x:v>39</x:v>
      </x:c>
      <x:c r="F1" s="2"/>
    </x:row>
    <x:row r="2" ht="25.799999237060547">
      <x:c r="A2" s="3">
        <x:v>46241</x:v>
      </x:c>
      <x:c r="B2" s="4" t="s">
        <x:v>24</x:v>
      </x:c>
      <x:c r="C2" s="5" t="s">
        <x:v>23</x:v>
      </x:c>
      <x:c r="D2" s="5" t="s">
        <x:v>40</x:v>
      </x:c>
      <x:c r="E2" s="33" t="n">
        <x:v>334.01</x:v>
      </x:c>
    </x:row>
    <x:row r="3" ht="25.799999237060547">
      <x:c r="A3" s="3">
        <x:v>46241</x:v>
      </x:c>
      <x:c r="B3" s="4" t="s">
        <x:v>26</x:v>
      </x:c>
      <x:c r="C3" s="5" t="s">
        <x:v>25</x:v>
      </x:c>
      <x:c r="D3" s="5" t="s">
        <x:v>40</x:v>
      </x:c>
      <x:c r="E3" s="33" t="n">
        <x:v>333</x:v>
      </x:c>
    </x:row>
    <x:row r="4" ht="25.799999237060547">
      <x:c r="A4" s="3">
        <x:v>46241</x:v>
      </x:c>
      <x:c r="B4" s="4" t="s">
        <x:v>28</x:v>
      </x:c>
      <x:c r="C4" s="5" t="s">
        <x:v>27</x:v>
      </x:c>
      <x:c r="D4" s="5" t="s">
        <x:v>40</x:v>
      </x:c>
      <x:c r="E4" s="33" t="n">
        <x:v>333</x:v>
      </x:c>
    </x:row>
    <x:row r="5" ht="25.799999237060547">
      <x:c r="A5" s="3"/>
      <x:c r="B5" s="4"/>
      <x:c r="C5" s="5"/>
      <x:c r="D5" s="5"/>
      <x:c r="E5" s="6"/>
    </x:row>
    <x:row r="6" ht="25.799999237060547">
      <x:c r="A6" s="3"/>
      <x:c r="B6" s="4"/>
      <x:c r="C6" s="5"/>
      <x:c r="D6" s="5"/>
      <x:c r="E6" s="6"/>
    </x:row>
    <x:row r="7" ht="25.799999237060547">
      <x:c r="A7" s="3"/>
      <x:c r="B7" s="4"/>
      <x:c r="C7" s="5"/>
      <x:c r="D7" s="5"/>
      <x:c r="E7" s="6"/>
    </x:row>
    <x:row r="8" ht="25.799999237060547">
      <x:c r="A8" s="3"/>
      <x:c r="B8" s="4"/>
      <x:c r="C8" s="5"/>
      <x:c r="D8" s="5"/>
      <x:c r="E8" s="6"/>
    </x:row>
    <x:row r="9" ht="25.799999237060547">
      <x:c r="A9" s="3"/>
      <x:c r="B9" s="4"/>
      <x:c r="C9" s="5"/>
      <x:c r="D9" s="5"/>
      <x:c r="E9" s="6"/>
    </x:row>
    <x:row r="10" ht="25.799999237060547">
      <x:c r="A10" s="3"/>
      <x:c r="B10" s="4"/>
      <x:c r="C10" s="5"/>
      <x:c r="D10" s="5"/>
      <x:c r="E10" s="6"/>
    </x:row>
    <x:row r="11" ht="25.799999237060547">
      <x:c r="A11" s="3"/>
      <x:c r="B11" s="4"/>
      <x:c r="C11" s="5"/>
      <x:c r="D11" s="5"/>
      <x:c r="E11" s="6"/>
    </x:row>
  </x:sheetData>
  <x:dataValidations count="2">
    <x:dataValidation type="list" sqref="D2:D200">
      <x:formula1>"买入,卖出"</x:formula1>
    </x:dataValidation>
    <x:dataValidation type="list" sqref="D2:D200">
      <x:formula1>"买入,卖出"</x:formula1>
    </x:dataValidation>
  </x:dataValidations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9" defaultRowHeight="14.399999618530273"/>
  <x:cols>
    <x:col min="1" max="1" width="21.88671875" customWidth="1"/>
    <x:col min="2" max="2" width="53.6640625" customWidth="1"/>
    <x:col min="3" max="3" width="13.5546875" customWidth="1"/>
    <x:col min="4" max="4" width="9.33203125" customWidth="1"/>
    <x:col min="5" max="5" width="17.77734375" customWidth="1"/>
    <x:col min="6" max="6" width="18" customWidth="1"/>
  </x:cols>
  <x:sheetData>
    <x:row r="1" ht="25.799999237060547">
      <x:c r="A1" s="1" t="s">
        <x:v>37</x:v>
      </x:c>
      <x:c r="B1" s="1" t="s">
        <x:v>2</x:v>
      </x:c>
      <x:c r="C1" s="1" t="s">
        <x:v>1</x:v>
      </x:c>
      <x:c r="D1" s="1" t="s">
        <x:v>38</x:v>
      </x:c>
      <x:c r="E1" s="1" t="s">
        <x:v>39</x:v>
      </x:c>
      <x:c r="F1" s="2"/>
    </x:row>
    <x:row r="2" ht="25.799999237060547">
      <x:c r="A2" s="3"/>
      <x:c r="B2" s="4"/>
      <x:c r="C2" s="5"/>
      <x:c r="D2" s="5"/>
      <x:c r="E2" s="6"/>
    </x:row>
    <x:row r="3" ht="25.799999237060547">
      <x:c r="A3" s="3"/>
      <x:c r="B3" s="4"/>
      <x:c r="C3" s="5"/>
      <x:c r="D3" s="5"/>
      <x:c r="E3" s="6"/>
    </x:row>
    <x:row r="4" ht="25.799999237060547">
      <x:c r="A4" s="3"/>
      <x:c r="B4" s="4"/>
      <x:c r="C4" s="5"/>
      <x:c r="D4" s="5"/>
      <x:c r="E4" s="6"/>
    </x:row>
    <x:row r="5" ht="25.799999237060547">
      <x:c r="A5" s="3"/>
      <x:c r="B5" s="4"/>
      <x:c r="C5" s="5"/>
      <x:c r="D5" s="5"/>
      <x:c r="E5" s="6"/>
    </x:row>
    <x:row r="6" ht="25.799999237060547">
      <x:c r="A6" s="3"/>
      <x:c r="B6" s="4"/>
      <x:c r="C6" s="5"/>
      <x:c r="D6" s="5"/>
      <x:c r="E6" s="6"/>
    </x:row>
    <x:row r="7" ht="25.799999237060547">
      <x:c r="A7" s="3"/>
      <x:c r="B7" s="4"/>
      <x:c r="C7" s="5"/>
      <x:c r="D7" s="5"/>
      <x:c r="E7" s="6"/>
    </x:row>
    <x:row r="8" ht="25.799999237060547">
      <x:c r="A8" s="3"/>
      <x:c r="B8" s="4"/>
      <x:c r="C8" s="5"/>
      <x:c r="D8" s="5"/>
      <x:c r="E8" s="6"/>
    </x:row>
    <x:row r="9" ht="25.799999237060547">
      <x:c r="A9" s="3"/>
      <x:c r="B9" s="4"/>
      <x:c r="C9" s="5"/>
      <x:c r="D9" s="5"/>
      <x:c r="E9" s="6"/>
    </x:row>
    <x:row r="10" ht="25.799999237060547">
      <x:c r="A10" s="3"/>
      <x:c r="B10" s="4"/>
      <x:c r="C10" s="5"/>
      <x:c r="D10" s="5"/>
      <x:c r="E10" s="6"/>
    </x:row>
    <x:row r="11" ht="25.799999237060547">
      <x:c r="A11" s="3"/>
      <x:c r="B11" s="4"/>
      <x:c r="C11" s="5"/>
      <x:c r="D11" s="5"/>
      <x:c r="E11" s="6"/>
    </x:row>
  </x:sheetData>
  <x:dataValidations count="2">
    <x:dataValidation type="list" sqref="D2:D200">
      <x:formula1>"买入,卖出"</x:formula1>
    </x:dataValidation>
    <x:dataValidation type="list" sqref="D2:D200">
      <x:formula1>"买入,卖出"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9" defaultRowHeight="14.399999618530273"/>
  <x:cols>
    <x:col min="1" max="1" width="21.88671875" customWidth="1"/>
    <x:col min="2" max="2" width="53.6640625" customWidth="1"/>
    <x:col min="3" max="3" width="13.5546875" customWidth="1"/>
    <x:col min="4" max="4" width="9.33203125" customWidth="1"/>
    <x:col min="5" max="5" width="17.77734375" customWidth="1"/>
    <x:col min="6" max="6" width="18" customWidth="1"/>
  </x:cols>
  <x:sheetData>
    <x:row r="1" ht="25.799999237060547">
      <x:c r="A1" s="1" t="s">
        <x:v>37</x:v>
      </x:c>
      <x:c r="B1" s="1" t="s">
        <x:v>2</x:v>
      </x:c>
      <x:c r="C1" s="1" t="s">
        <x:v>1</x:v>
      </x:c>
      <x:c r="D1" s="1" t="s">
        <x:v>38</x:v>
      </x:c>
      <x:c r="E1" s="1" t="s">
        <x:v>39</x:v>
      </x:c>
      <x:c r="F1" s="2"/>
    </x:row>
    <x:row r="2" ht="25.799999237060547">
      <x:c r="A2" s="3">
        <x:v>46241</x:v>
      </x:c>
      <x:c r="B2" s="4" t="s">
        <x:v>34</x:v>
      </x:c>
      <x:c r="C2" s="5" t="str">
        <x:v>ZFB</x:v>
      </x:c>
      <x:c r="D2" s="5" t="s">
        <x:v>40</x:v>
      </x:c>
      <x:c r="E2" s="6">
        <x:v>9000</x:v>
      </x:c>
    </x:row>
    <x:row r="3" ht="25.799999237060547">
      <x:c r="A3" s="3"/>
      <x:c r="B3" s="4"/>
      <x:c r="C3" s="5"/>
      <x:c r="D3" s="5"/>
      <x:c r="E3" s="6"/>
    </x:row>
    <x:row r="4" ht="25.799999237060547">
      <x:c r="A4" s="3"/>
      <x:c r="B4" s="4"/>
      <x:c r="C4" s="5"/>
      <x:c r="D4" s="5"/>
      <x:c r="E4" s="6"/>
    </x:row>
    <x:row r="5" ht="25.799999237060547">
      <x:c r="A5" s="3"/>
      <x:c r="B5" s="4"/>
      <x:c r="C5" s="5"/>
      <x:c r="D5" s="5"/>
      <x:c r="E5" s="6"/>
    </x:row>
    <x:row r="6" ht="25.799999237060547">
      <x:c r="A6" s="3"/>
      <x:c r="B6" s="4"/>
      <x:c r="C6" s="5"/>
      <x:c r="D6" s="5"/>
      <x:c r="E6" s="6"/>
    </x:row>
    <x:row r="7" ht="25.799999237060547">
      <x:c r="A7" s="3"/>
      <x:c r="B7" s="4"/>
      <x:c r="C7" s="5"/>
      <x:c r="D7" s="5"/>
      <x:c r="E7" s="6"/>
    </x:row>
    <x:row r="8" ht="25.799999237060547">
      <x:c r="A8" s="3"/>
      <x:c r="B8" s="4"/>
      <x:c r="C8" s="5"/>
      <x:c r="D8" s="5"/>
      <x:c r="E8" s="6"/>
    </x:row>
    <x:row r="9" ht="25.799999237060547">
      <x:c r="A9" s="3"/>
      <x:c r="B9" s="4"/>
      <x:c r="C9" s="5"/>
      <x:c r="D9" s="5"/>
      <x:c r="E9" s="6"/>
    </x:row>
    <x:row r="10" ht="25.799999237060547">
      <x:c r="A10" s="3"/>
      <x:c r="B10" s="4"/>
      <x:c r="C10" s="5"/>
      <x:c r="D10" s="5"/>
      <x:c r="E10" s="6"/>
    </x:row>
  </x:sheetData>
  <x:dataValidations count="2">
    <x:dataValidation type="list" sqref="D2:D200">
      <x:formula1>"买入,卖出"</x:formula1>
    </x:dataValidation>
    <x:dataValidation type="list" sqref="D2:D200">
      <x:formula1>"买入,卖出"</x:formula1>
    </x:dataValidation>
  </x:dataValidations>
  <x:pageMargins left="0.7" right="0.7" top="0.75" bottom="0.75" header="0.3" footer="0.3"/>
</x:worksheet>
</file>