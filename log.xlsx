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CodeX\InvestmentLearningJourney\"/>
    </mc:Choice>
  </mc:AlternateContent>
  <xr:revisionPtr revIDLastSave="0" documentId="13_ncr:1_{8BBBD5F7-EC04-4F61-B2C6-ABD949E52E66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持有" sheetId="5" r:id="rId1"/>
    <sheet name="指数" sheetId="1" r:id="rId2"/>
    <sheet name="量化" sheetId="2" r:id="rId3"/>
    <sheet name="行业" sheetId="3" r:id="rId4"/>
    <sheet name="其他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E6" i="5"/>
  <c r="E5" i="5"/>
  <c r="E4" i="5"/>
  <c r="E3" i="5"/>
  <c r="E2" i="5"/>
  <c r="E8" i="5" s="1"/>
  <c r="E11" i="5"/>
  <c r="E10" i="5"/>
  <c r="E9" i="5"/>
  <c r="E12" i="5"/>
  <c r="D12" i="5"/>
  <c r="C12" i="5"/>
  <c r="C8" i="5"/>
  <c r="D8" i="5"/>
</calcChain>
</file>

<file path=xl/sharedStrings.xml><?xml version="1.0" encoding="utf-8"?>
<sst xmlns="http://schemas.openxmlformats.org/spreadsheetml/2006/main" count="110" uniqueCount="62">
  <si>
    <t>基金</t>
  </si>
  <si>
    <t>代码</t>
  </si>
  <si>
    <t>方向</t>
  </si>
  <si>
    <t>金额</t>
  </si>
  <si>
    <t>华泰柏瑞沪深300ETF联接A</t>
  </si>
  <si>
    <t>460300</t>
  </si>
  <si>
    <t>买入</t>
  </si>
  <si>
    <t>易方达恒生红利低波ETF联接A</t>
  </si>
  <si>
    <t>021457</t>
  </si>
  <si>
    <t>汇添富恒生指数(QDII-LOF)A</t>
  </si>
  <si>
    <t>164705</t>
  </si>
  <si>
    <t>南方中证500ETF联接(LOF)A</t>
  </si>
  <si>
    <t>160119</t>
  </si>
  <si>
    <t>易方达创业板ETF联接A</t>
  </si>
  <si>
    <t>110026</t>
  </si>
  <si>
    <t>富国中证红利指数增强A</t>
  </si>
  <si>
    <t>100032</t>
  </si>
  <si>
    <t>日期</t>
  </si>
  <si>
    <t>南方中证全指房地产</t>
  </si>
  <si>
    <t>004643</t>
  </si>
  <si>
    <t>¥334.01</t>
  </si>
  <si>
    <t>华夏中证细分食品饮料产业主题</t>
  </si>
  <si>
    <t>013126</t>
  </si>
  <si>
    <t>¥333</t>
  </si>
  <si>
    <t>汇添富中证主要消费</t>
  </si>
  <si>
    <t>000249</t>
  </si>
  <si>
    <t>余额宝</t>
  </si>
  <si>
    <t>-</t>
  </si>
  <si>
    <t>类型</t>
    <phoneticPr fontId="4" type="noConversion"/>
  </si>
  <si>
    <t>持仓</t>
    <phoneticPr fontId="4" type="noConversion"/>
  </si>
  <si>
    <t>成本</t>
    <phoneticPr fontId="4" type="noConversion"/>
  </si>
  <si>
    <t>占比</t>
    <phoneticPr fontId="4" type="noConversion"/>
  </si>
  <si>
    <t>收益</t>
    <phoneticPr fontId="4" type="noConversion"/>
  </si>
  <si>
    <t>指数</t>
    <phoneticPr fontId="4" type="noConversion"/>
  </si>
  <si>
    <t>460300</t>
    <phoneticPr fontId="4" type="noConversion"/>
  </si>
  <si>
    <t>华泰柏瑞沪深300ETF联接A</t>
    <phoneticPr fontId="4" type="noConversion"/>
  </si>
  <si>
    <t>160119</t>
    <phoneticPr fontId="4" type="noConversion"/>
  </si>
  <si>
    <t>南方中证500ETF联接(LOF)A</t>
    <phoneticPr fontId="4" type="noConversion"/>
  </si>
  <si>
    <t>110026</t>
    <phoneticPr fontId="4" type="noConversion"/>
  </si>
  <si>
    <t>易方达创业板ETF联接A</t>
    <phoneticPr fontId="4" type="noConversion"/>
  </si>
  <si>
    <t>100032</t>
    <phoneticPr fontId="4" type="noConversion"/>
  </si>
  <si>
    <t>富国中证红利指数增强A</t>
    <phoneticPr fontId="4" type="noConversion"/>
  </si>
  <si>
    <t>164705</t>
    <phoneticPr fontId="4" type="noConversion"/>
  </si>
  <si>
    <t>汇添富恒生指数(QDII-LOF)A</t>
    <phoneticPr fontId="4" type="noConversion"/>
  </si>
  <si>
    <t>021457</t>
    <phoneticPr fontId="4" type="noConversion"/>
  </si>
  <si>
    <t>易方达恒生红利低波ETF联接A</t>
    <phoneticPr fontId="4" type="noConversion"/>
  </si>
  <si>
    <t>指数合计</t>
    <phoneticPr fontId="4" type="noConversion"/>
  </si>
  <si>
    <t>-</t>
    <phoneticPr fontId="4" type="noConversion"/>
  </si>
  <si>
    <t>量化</t>
    <phoneticPr fontId="4" type="noConversion"/>
  </si>
  <si>
    <t>量化合计</t>
    <phoneticPr fontId="4" type="noConversion"/>
  </si>
  <si>
    <t>行业</t>
    <phoneticPr fontId="4" type="noConversion"/>
  </si>
  <si>
    <t>南方中证全指房地产</t>
    <phoneticPr fontId="4" type="noConversion"/>
  </si>
  <si>
    <t>华夏中证细分食品饮料产业主题</t>
    <phoneticPr fontId="4" type="noConversion"/>
  </si>
  <si>
    <t>汇添富中证主要消费</t>
    <phoneticPr fontId="4" type="noConversion"/>
  </si>
  <si>
    <t>行业合计</t>
    <phoneticPr fontId="4" type="noConversion"/>
  </si>
  <si>
    <t>其他</t>
    <phoneticPr fontId="4" type="noConversion"/>
  </si>
  <si>
    <t>ZFB</t>
    <phoneticPr fontId="4" type="noConversion"/>
  </si>
  <si>
    <t>余额宝</t>
    <phoneticPr fontId="4" type="noConversion"/>
  </si>
  <si>
    <t>总计</t>
    <phoneticPr fontId="4" type="noConversion"/>
  </si>
  <si>
    <t>004643</t>
    <phoneticPr fontId="4" type="noConversion"/>
  </si>
  <si>
    <t>013126</t>
    <phoneticPr fontId="4" type="noConversion"/>
  </si>
  <si>
    <t>000249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</si>
</sst>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8" x14ac:knownFonts="1">
    <font>
      <sz val="11"/>
      <color theme="1"/>
      <name val="宋体"/>
      <charset val="134"/>
    </font>
    <font>
      <b/>
      <sz val="20"/>
      <color theme="1"/>
      <name val="宋体"/>
      <charset val="134"/>
    </font>
    <font>
      <b/>
      <sz val="11"/>
      <color theme="1"/>
      <name val="宋体"/>
      <charset val="134"/>
    </font>
    <font>
      <sz val="20"/>
      <color theme="1"/>
      <name val="宋体"/>
      <charset val="134"/>
    </font>
    <font>
      <sz val="9"/>
      <name val="宋体"/>
      <charset val="134"/>
    </font>
    <font>
      <b/>
      <sz val="20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8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49" fontId="6" fillId="0" borderId="1" xfId="0" applyNumberFormat="1" applyFont="1" applyBorder="1">
      <alignment vertical="center"/>
    </xf>
    <xf numFmtId="4" fontId="3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23" sqref="G23"/>
    </sheetView>
  </sheetViews>
  <sheetFormatPr defaultColWidth="8.88671875" defaultRowHeight="14.4" x14ac:dyDescent="0.25"/>
  <cols>
    <col min="1" max="1" width="17.21875" bestFit="1" customWidth="1"/>
    <col min="2" max="2" width="13.5546875" style="10" bestFit="1" customWidth="1"/>
    <col min="3" max="4" width="19.77734375" bestFit="1" customWidth="1"/>
    <col min="5" max="5" width="15.6640625" bestFit="1" customWidth="1"/>
    <col min="6" max="6" width="9.5546875" bestFit="1" customWidth="1"/>
    <col min="7" max="7" width="53.6640625" bestFit="1" customWidth="1"/>
  </cols>
  <sheetData>
    <row r="1" spans="1:7" ht="25.8" x14ac:dyDescent="0.25">
      <c r="A1" s="1" t="s">
        <v>28</v>
      </c>
      <c r="B1" s="8" t="s">
        <v>1</v>
      </c>
      <c r="C1" s="7" t="s">
        <v>29</v>
      </c>
      <c r="D1" s="7" t="s">
        <v>30</v>
      </c>
      <c r="E1" s="7" t="s">
        <v>31</v>
      </c>
      <c r="F1" s="7" t="s">
        <v>32</v>
      </c>
      <c r="G1" s="1" t="s">
        <v>0</v>
      </c>
    </row>
    <row r="2" spans="1:7" ht="25.8" x14ac:dyDescent="0.25">
      <c r="A2" s="5" t="s">
        <v>33</v>
      </c>
      <c r="B2" s="9" t="s">
        <v>34</v>
      </c>
      <c r="C2" s="5"/>
      <c r="D2" s="5"/>
      <c r="E2" s="5" t="e">
        <f t="shared" ref="E2" si="0">C2/SUM(C2:C4)</f>
        <v>#DIV/0!</v>
      </c>
      <c r="F2" s="5"/>
      <c r="G2" s="5" t="s">
        <v>35</v>
      </c>
    </row>
    <row r="3" spans="1:7" ht="25.8" x14ac:dyDescent="0.25">
      <c r="A3" s="5" t="s">
        <v>33</v>
      </c>
      <c r="B3" s="9" t="s">
        <v>36</v>
      </c>
      <c r="C3" s="5"/>
      <c r="D3" s="5"/>
      <c r="E3" s="5" t="e">
        <f t="shared" ref="E3:E7" si="1">C3/SUM(C2:C4)</f>
        <v>#DIV/0!</v>
      </c>
      <c r="F3" s="5"/>
      <c r="G3" s="5" t="s">
        <v>37</v>
      </c>
    </row>
    <row r="4" spans="1:7" ht="25.8" x14ac:dyDescent="0.25">
      <c r="A4" s="5" t="s">
        <v>33</v>
      </c>
      <c r="B4" s="9" t="s">
        <v>38</v>
      </c>
      <c r="C4" s="5"/>
      <c r="D4" s="5"/>
      <c r="E4" s="5" t="e">
        <f t="shared" ref="E4" si="2">C4/SUM(C2:C4)</f>
        <v>#DIV/0!</v>
      </c>
      <c r="F4" s="5"/>
      <c r="G4" s="5" t="s">
        <v>39</v>
      </c>
    </row>
    <row r="5" spans="1:7" ht="25.8" x14ac:dyDescent="0.25">
      <c r="A5" s="5" t="s">
        <v>33</v>
      </c>
      <c r="B5" s="9" t="s">
        <v>40</v>
      </c>
      <c r="C5" s="5"/>
      <c r="D5" s="5"/>
      <c r="E5" s="5" t="e">
        <f t="shared" ref="E5" si="3">C5/SUM(C5:C7)</f>
        <v>#DIV/0!</v>
      </c>
      <c r="F5" s="5"/>
      <c r="G5" s="5" t="s">
        <v>41</v>
      </c>
    </row>
    <row r="6" spans="1:7" ht="25.8" x14ac:dyDescent="0.25">
      <c r="A6" s="5" t="s">
        <v>33</v>
      </c>
      <c r="B6" s="9" t="s">
        <v>42</v>
      </c>
      <c r="C6" s="5"/>
      <c r="D6" s="5"/>
      <c r="E6" s="5" t="e">
        <f t="shared" ref="E6:E7" si="4">C6/SUM(C5:C7)</f>
        <v>#DIV/0!</v>
      </c>
      <c r="F6" s="5"/>
      <c r="G6" s="5" t="s">
        <v>43</v>
      </c>
    </row>
    <row r="7" spans="1:7" ht="25.8" x14ac:dyDescent="0.25">
      <c r="A7" s="5" t="s">
        <v>33</v>
      </c>
      <c r="B7" s="9" t="s">
        <v>44</v>
      </c>
      <c r="C7" s="5"/>
      <c r="D7" s="5"/>
      <c r="E7" s="5" t="e">
        <f t="shared" ref="E7" si="5">C7/SUM(C5:C7)</f>
        <v>#DIV/0!</v>
      </c>
      <c r="F7" s="5"/>
      <c r="G7" s="5" t="s">
        <v>45</v>
      </c>
    </row>
    <row r="8" spans="1:7" ht="25.8" x14ac:dyDescent="0.25">
      <c r="A8" s="5" t="s">
        <v>46</v>
      </c>
      <c r="B8" s="9"/>
      <c r="C8" s="5">
        <f>SUM(C2:C7)</f>
        <v>0</v>
      </c>
      <c r="D8" s="5">
        <f>SUM(D2:D7)</f>
        <v>0</v>
      </c>
      <c r="E8" s="5" t="e">
        <f>SUM(E2:E7)</f>
        <v>#DIV/0!</v>
      </c>
      <c r="F8" s="5"/>
      <c r="G8" s="5"/>
    </row>
    <row r="9" spans="1:7" ht="25.8" x14ac:dyDescent="0.25">
      <c r="A9" s="5" t="s">
        <v>48</v>
      </c>
      <c r="B9" s="11" t="s">
        <v>59</v>
      </c>
      <c r="C9" s="5"/>
      <c r="D9" s="5"/>
      <c r="E9" s="5" t="e">
        <f>C9/SUM(C9:C11)</f>
        <v>#DIV/0!</v>
      </c>
      <c r="F9" s="5"/>
      <c r="G9" s="5" t="s">
        <v>51</v>
      </c>
    </row>
    <row r="10" spans="1:7" ht="25.8" x14ac:dyDescent="0.25">
      <c r="A10" s="5" t="s">
        <v>48</v>
      </c>
      <c r="B10" s="11" t="s">
        <v>60</v>
      </c>
      <c r="C10" s="5"/>
      <c r="D10" s="5"/>
      <c r="E10" s="5" t="e">
        <f>C10/SUM(C9:C11)</f>
        <v>#DIV/0!</v>
      </c>
      <c r="F10" s="5"/>
      <c r="G10" s="5" t="s">
        <v>52</v>
      </c>
    </row>
    <row r="11" spans="1:7" ht="25.8" x14ac:dyDescent="0.25">
      <c r="A11" s="5" t="s">
        <v>48</v>
      </c>
      <c r="B11" s="11" t="s">
        <v>61</v>
      </c>
      <c r="C11" s="5"/>
      <c r="D11" s="5"/>
      <c r="E11" s="5" t="e">
        <f>C11/SUM(C9:C11)</f>
        <v>#DIV/0!</v>
      </c>
      <c r="F11" s="5"/>
      <c r="G11" s="5" t="s">
        <v>53</v>
      </c>
    </row>
    <row r="12" spans="1:7" ht="25.8" x14ac:dyDescent="0.25">
      <c r="A12" s="5" t="s">
        <v>49</v>
      </c>
      <c r="B12" s="9"/>
      <c r="C12" s="5">
        <f>SUM(C9:C11)</f>
        <v>0</v>
      </c>
      <c r="D12" s="5">
        <f>SUM(D9:D11)</f>
        <v>0</v>
      </c>
      <c r="E12" s="5" t="e">
        <f>SUM(E9:E11)</f>
        <v>#DIV/0!</v>
      </c>
      <c r="F12" s="5"/>
      <c r="G12" s="5"/>
    </row>
    <row r="13" spans="1:7" ht="25.8" x14ac:dyDescent="0.25">
      <c r="A13" s="5" t="s">
        <v>50</v>
      </c>
    </row>
    <row r="14" spans="1:7" ht="25.8" x14ac:dyDescent="0.25">
      <c r="A14" s="5" t="s">
        <v>50</v>
      </c>
    </row>
    <row r="15" spans="1:7" ht="25.8" x14ac:dyDescent="0.25">
      <c r="A15" s="5" t="s">
        <v>50</v>
      </c>
    </row>
    <row r="16" spans="1:7" ht="25.8" x14ac:dyDescent="0.25">
      <c r="A16" s="5" t="s">
        <v>54</v>
      </c>
      <c r="B16" s="9"/>
      <c r="C16" s="5"/>
      <c r="D16" s="5"/>
      <c r="E16" s="5"/>
      <c r="F16" s="5"/>
      <c r="G16" s="5"/>
    </row>
    <row r="17" spans="1:7" ht="25.8" x14ac:dyDescent="0.25">
      <c r="A17" s="5" t="s">
        <v>55</v>
      </c>
      <c r="B17" s="9" t="s">
        <v>56</v>
      </c>
      <c r="C17" s="5">
        <v>9000</v>
      </c>
      <c r="D17" s="5">
        <v>9000</v>
      </c>
      <c r="E17" s="5"/>
      <c r="F17" s="5"/>
      <c r="G17" s="5" t="s">
        <v>57</v>
      </c>
    </row>
    <row r="18" spans="1:7" ht="25.8" x14ac:dyDescent="0.25">
      <c r="A18" s="5" t="s">
        <v>58</v>
      </c>
      <c r="B18" s="9" t="s">
        <v>47</v>
      </c>
      <c r="C18" s="12">
        <v>16040.91</v>
      </c>
      <c r="D18" s="12">
        <v>15996.8</v>
      </c>
      <c r="E18" s="5"/>
      <c r="F18" s="5"/>
      <c r="G18" s="5"/>
    </row>
    <row r="19" spans="1:7" ht="25.8" x14ac:dyDescent="0.25">
      <c r="A19" s="5"/>
      <c r="B19" s="9"/>
      <c r="C19" s="5"/>
      <c r="D19" s="5"/>
      <c r="E19" s="5"/>
      <c r="F19" s="5"/>
      <c r="G19" s="5"/>
    </row>
    <row r="20" spans="1:7" ht="25.8" x14ac:dyDescent="0.25">
      <c r="A20" s="5"/>
      <c r="B20" s="9"/>
      <c r="C20" s="5"/>
      <c r="D20" s="5"/>
      <c r="E20" s="5"/>
      <c r="F20" s="5"/>
      <c r="G20" s="5"/>
    </row>
    <row r="21" spans="1:7" ht="25.8" x14ac:dyDescent="0.25">
      <c r="A21" s="5"/>
      <c r="B21" s="9"/>
      <c r="C21" s="5"/>
      <c r="D21" s="5"/>
      <c r="E21" s="5"/>
      <c r="F21" s="5"/>
      <c r="G21" s="5"/>
    </row>
    <row r="22" spans="1:7" ht="25.8" x14ac:dyDescent="0.25">
      <c r="A22" s="5"/>
      <c r="B22" s="9"/>
      <c r="C22" s="5"/>
      <c r="D22" s="5"/>
      <c r="E22" s="5"/>
      <c r="F22" s="5"/>
      <c r="G22" s="5"/>
    </row>
    <row r="23" spans="1:7" ht="25.8" x14ac:dyDescent="0.25">
      <c r="A23" s="5"/>
      <c r="B23" s="9"/>
      <c r="C23" s="5"/>
      <c r="D23" s="5"/>
      <c r="E23" s="5"/>
      <c r="F23" s="5"/>
      <c r="G23" s="5"/>
    </row>
    <row r="24" spans="1:7" ht="25.8" x14ac:dyDescent="0.25">
      <c r="A24" s="5"/>
      <c r="B24" s="9"/>
      <c r="C24" s="5"/>
      <c r="D24" s="5"/>
      <c r="E24" s="5"/>
      <c r="F24" s="5"/>
      <c r="G24" s="5"/>
    </row>
    <row r="25" spans="1:7" ht="25.8" x14ac:dyDescent="0.25">
      <c r="A25" s="5"/>
      <c r="B25" s="9"/>
      <c r="C25" s="5"/>
      <c r="D25" s="5"/>
      <c r="E25" s="5"/>
      <c r="F25" s="5"/>
      <c r="G25" s="5"/>
    </row>
    <row r="26" spans="1:7" ht="25.8" x14ac:dyDescent="0.25">
      <c r="A26" s="5"/>
      <c r="B26" s="9"/>
      <c r="C26" s="5"/>
      <c r="D26" s="5"/>
      <c r="E26" s="5"/>
      <c r="F26" s="5"/>
      <c r="G26" s="5"/>
    </row>
    <row r="27" spans="1:7" ht="25.8" x14ac:dyDescent="0.25">
      <c r="A27" s="5"/>
      <c r="B27" s="9"/>
      <c r="C27" s="5"/>
      <c r="D27" s="5"/>
      <c r="E27" s="5"/>
      <c r="F27" s="5"/>
      <c r="G27" s="5"/>
    </row>
    <row r="28" spans="1:7" ht="25.8" x14ac:dyDescent="0.25">
      <c r="A28" s="5"/>
      <c r="B28" s="9"/>
      <c r="C28" s="5"/>
      <c r="D28" s="5"/>
      <c r="E28" s="5"/>
      <c r="F28" s="5"/>
      <c r="G28" s="5"/>
    </row>
    <row r="29" spans="1:7" ht="25.8" x14ac:dyDescent="0.25">
      <c r="A29" s="5"/>
      <c r="B29" s="9"/>
      <c r="C29" s="5"/>
      <c r="D29" s="5"/>
      <c r="E29" s="5"/>
      <c r="F29" s="5"/>
      <c r="G29" s="5"/>
    </row>
    <row r="30" spans="1:7" ht="25.8" x14ac:dyDescent="0.25">
      <c r="A30" s="5"/>
      <c r="B30" s="9"/>
      <c r="C30" s="5"/>
      <c r="D30" s="5"/>
      <c r="E30" s="5"/>
      <c r="F30" s="5"/>
      <c r="G30" s="5"/>
    </row>
    <row r="31" spans="1:7" ht="25.8" x14ac:dyDescent="0.25">
      <c r="A31" s="5"/>
      <c r="B31" s="9"/>
      <c r="C31" s="5"/>
      <c r="D31" s="5"/>
      <c r="E31" s="5"/>
      <c r="F31" s="5"/>
      <c r="G31" s="5"/>
    </row>
    <row r="32" spans="1:7" ht="25.8" x14ac:dyDescent="0.25">
      <c r="A32" s="5"/>
      <c r="B32" s="9"/>
      <c r="C32" s="5"/>
      <c r="D32" s="5"/>
      <c r="E32" s="5"/>
      <c r="F32" s="5"/>
      <c r="G32" s="5"/>
    </row>
    <row r="33" spans="1:7" ht="25.8" x14ac:dyDescent="0.25">
      <c r="A33" s="5"/>
      <c r="B33" s="9"/>
      <c r="C33" s="5"/>
      <c r="D33" s="5"/>
      <c r="E33" s="5"/>
      <c r="F33" s="5"/>
      <c r="G33" s="5"/>
    </row>
    <row r="34" spans="1:7" ht="25.8" x14ac:dyDescent="0.25">
      <c r="A34" s="5"/>
      <c r="B34" s="9"/>
      <c r="C34" s="5"/>
      <c r="D34" s="5"/>
      <c r="E34" s="5"/>
      <c r="F34" s="5"/>
      <c r="G34" s="5"/>
    </row>
    <row r="35" spans="1:7" ht="25.8" x14ac:dyDescent="0.25">
      <c r="A35" s="5"/>
      <c r="B35" s="9"/>
      <c r="C35" s="5"/>
      <c r="D35" s="5"/>
      <c r="E35" s="5"/>
      <c r="F35" s="5"/>
      <c r="G35" s="5"/>
    </row>
    <row r="36" spans="1:7" ht="25.8" x14ac:dyDescent="0.25">
      <c r="A36" s="5"/>
      <c r="B36" s="9"/>
      <c r="C36" s="5"/>
      <c r="D36" s="5"/>
      <c r="E36" s="5"/>
      <c r="F36" s="5"/>
      <c r="G36" s="5"/>
    </row>
    <row r="37" spans="1:7" ht="25.8" x14ac:dyDescent="0.25">
      <c r="A37" s="5"/>
      <c r="B37" s="9"/>
      <c r="C37" s="5"/>
      <c r="D37" s="5"/>
      <c r="E37" s="5"/>
      <c r="F37" s="5"/>
      <c r="G37" s="5"/>
    </row>
  </sheetData>
  <phoneticPr fontId="4" type="noConversion"/>
  <dataValidations count="1">
    <dataValidation type="list" sqref="C2:C7" xr:uid="{00000000-0002-0000-0000-000000000000}">
      <formula1>"买入,卖出"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B23" sqref="B23"/>
    </sheetView>
  </sheetViews>
  <sheetFormatPr defaultColWidth="9" defaultRowHeight="14.4" x14ac:dyDescent="0.25"/>
  <cols>
    <col min="1" max="1" width="21.88671875" customWidth="1"/>
    <col min="2" max="2" width="53.6640625" customWidth="1"/>
    <col min="3" max="3" width="13.5546875" customWidth="1"/>
    <col min="4" max="4" width="9.33203125" customWidth="1"/>
    <col min="5" max="5" width="17.77734375" customWidth="1"/>
    <col min="6" max="6" width="18" customWidth="1"/>
  </cols>
  <sheetData>
    <row r="1" spans="1:6" ht="25.8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6" ht="25.8" x14ac:dyDescent="0.25">
      <c r="A2" s="3">
        <v>46206</v>
      </c>
      <c r="B2" s="4" t="s">
        <v>4</v>
      </c>
      <c r="C2" s="5" t="s">
        <v>5</v>
      </c>
      <c r="D2" s="5" t="s">
        <v>6</v>
      </c>
      <c r="E2" s="6">
        <v>1000</v>
      </c>
    </row>
    <row r="3" spans="1:6" ht="25.8" x14ac:dyDescent="0.25">
      <c r="A3" s="3">
        <v>46213</v>
      </c>
      <c r="B3" s="4" t="s">
        <v>4</v>
      </c>
      <c r="C3" s="5" t="s">
        <v>5</v>
      </c>
      <c r="D3" s="5" t="s">
        <v>6</v>
      </c>
      <c r="E3" s="6">
        <v>1000</v>
      </c>
    </row>
    <row r="4" spans="1:6" ht="25.8" x14ac:dyDescent="0.25">
      <c r="A4" s="3">
        <v>46213</v>
      </c>
      <c r="B4" s="4" t="s">
        <v>7</v>
      </c>
      <c r="C4" s="5" t="s">
        <v>8</v>
      </c>
      <c r="D4" s="5" t="s">
        <v>6</v>
      </c>
      <c r="E4" s="6">
        <v>1000</v>
      </c>
    </row>
    <row r="5" spans="1:6" ht="25.8" x14ac:dyDescent="0.25">
      <c r="A5" s="3">
        <v>46213</v>
      </c>
      <c r="B5" s="4" t="s">
        <v>9</v>
      </c>
      <c r="C5" s="5" t="s">
        <v>10</v>
      </c>
      <c r="D5" s="5" t="s">
        <v>6</v>
      </c>
      <c r="E5" s="6">
        <v>1000</v>
      </c>
    </row>
    <row r="6" spans="1:6" ht="25.8" x14ac:dyDescent="0.25">
      <c r="A6" s="3">
        <v>46237</v>
      </c>
      <c r="B6" s="4" t="s">
        <v>4</v>
      </c>
      <c r="C6" s="5" t="s">
        <v>5</v>
      </c>
      <c r="D6" s="5" t="s">
        <v>6</v>
      </c>
      <c r="E6" s="6">
        <v>625</v>
      </c>
    </row>
    <row r="7" spans="1:6" ht="25.8" x14ac:dyDescent="0.25">
      <c r="A7" s="3">
        <v>46237</v>
      </c>
      <c r="B7" s="4" t="s">
        <v>11</v>
      </c>
      <c r="C7" s="5" t="s">
        <v>12</v>
      </c>
      <c r="D7" s="5" t="s">
        <v>6</v>
      </c>
      <c r="E7" s="6">
        <v>371.8</v>
      </c>
    </row>
    <row r="8" spans="1:6" ht="25.8" x14ac:dyDescent="0.25">
      <c r="A8" s="3">
        <v>46237</v>
      </c>
      <c r="B8" s="4" t="s">
        <v>13</v>
      </c>
      <c r="C8" s="5" t="s">
        <v>14</v>
      </c>
      <c r="D8" s="5" t="s">
        <v>6</v>
      </c>
      <c r="E8" s="6">
        <v>125</v>
      </c>
    </row>
    <row r="9" spans="1:6" ht="25.8" x14ac:dyDescent="0.25">
      <c r="A9" s="3">
        <v>46237</v>
      </c>
      <c r="B9" s="4" t="s">
        <v>15</v>
      </c>
      <c r="C9" s="5" t="s">
        <v>16</v>
      </c>
      <c r="D9" s="5" t="s">
        <v>6</v>
      </c>
      <c r="E9" s="6">
        <v>188</v>
      </c>
    </row>
    <row r="10" spans="1:6" ht="25.8" x14ac:dyDescent="0.25">
      <c r="A10" s="3">
        <v>46237</v>
      </c>
      <c r="B10" s="4" t="s">
        <v>9</v>
      </c>
      <c r="C10" s="5" t="s">
        <v>10</v>
      </c>
      <c r="D10" s="5" t="s">
        <v>6</v>
      </c>
      <c r="E10" s="6">
        <v>187</v>
      </c>
    </row>
    <row r="11" spans="1:6" ht="25.8" x14ac:dyDescent="0.25">
      <c r="A11" s="3">
        <v>46237</v>
      </c>
      <c r="B11" s="4" t="s">
        <v>7</v>
      </c>
      <c r="C11" s="5" t="s">
        <v>8</v>
      </c>
      <c r="D11" s="5" t="s">
        <v>6</v>
      </c>
      <c r="E11" s="6">
        <v>500</v>
      </c>
    </row>
  </sheetData>
  <phoneticPr fontId="7" type="noConversion"/>
  <dataValidations count="1">
    <dataValidation type="list" sqref="D2:D199" xr:uid="{00000000-0002-0000-0100-000000000000}">
      <formula1>"买入,卖出"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1" sqref="F1:F1048576"/>
    </sheetView>
  </sheetViews>
  <sheetFormatPr defaultColWidth="9" defaultRowHeight="14.4" x14ac:dyDescent="0.25"/>
  <cols>
    <col min="1" max="1" width="21.88671875" customWidth="1"/>
    <col min="2" max="2" width="57.44140625" customWidth="1"/>
    <col min="3" max="3" width="13.5546875" customWidth="1"/>
    <col min="4" max="4" width="9.5546875" customWidth="1"/>
    <col min="5" max="5" width="17.77734375" customWidth="1"/>
    <col min="6" max="6" width="18" customWidth="1"/>
  </cols>
  <sheetData>
    <row r="1" spans="1:6" ht="25.8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6" ht="25.8" x14ac:dyDescent="0.25">
      <c r="A2" s="3">
        <v>46241</v>
      </c>
      <c r="B2" s="4" t="s">
        <v>18</v>
      </c>
      <c r="C2" s="5" t="s">
        <v>19</v>
      </c>
      <c r="D2" s="5" t="s">
        <v>6</v>
      </c>
      <c r="E2" s="6" t="s">
        <v>20</v>
      </c>
    </row>
    <row r="3" spans="1:6" ht="25.8" x14ac:dyDescent="0.25">
      <c r="A3" s="3">
        <v>46241</v>
      </c>
      <c r="B3" s="4" t="s">
        <v>21</v>
      </c>
      <c r="C3" s="5" t="s">
        <v>22</v>
      </c>
      <c r="D3" s="5" t="s">
        <v>6</v>
      </c>
      <c r="E3" s="6" t="s">
        <v>23</v>
      </c>
    </row>
    <row r="4" spans="1:6" ht="25.8" x14ac:dyDescent="0.25">
      <c r="A4" s="3">
        <v>46241</v>
      </c>
      <c r="B4" s="4" t="s">
        <v>24</v>
      </c>
      <c r="C4" s="5" t="s">
        <v>25</v>
      </c>
      <c r="D4" s="5" t="s">
        <v>6</v>
      </c>
      <c r="E4" s="6" t="s">
        <v>23</v>
      </c>
    </row>
    <row r="5" spans="1:6" ht="25.8" x14ac:dyDescent="0.25">
      <c r="A5" s="3"/>
      <c r="B5" s="4"/>
      <c r="C5" s="5"/>
      <c r="D5" s="5"/>
      <c r="E5" s="6"/>
    </row>
    <row r="6" spans="1:6" ht="25.8" x14ac:dyDescent="0.25">
      <c r="A6" s="3"/>
      <c r="B6" s="4"/>
      <c r="C6" s="5"/>
      <c r="D6" s="5"/>
      <c r="E6" s="6"/>
    </row>
    <row r="7" spans="1:6" ht="25.8" x14ac:dyDescent="0.25">
      <c r="A7" s="3"/>
      <c r="B7" s="4"/>
      <c r="C7" s="5"/>
      <c r="D7" s="5"/>
      <c r="E7" s="6"/>
    </row>
    <row r="8" spans="1:6" ht="25.8" x14ac:dyDescent="0.25">
      <c r="A8" s="3"/>
      <c r="B8" s="4"/>
      <c r="C8" s="5"/>
      <c r="D8" s="5"/>
      <c r="E8" s="6"/>
    </row>
    <row r="9" spans="1:6" ht="25.8" x14ac:dyDescent="0.25">
      <c r="A9" s="3"/>
      <c r="B9" s="4"/>
      <c r="C9" s="5"/>
      <c r="D9" s="5"/>
      <c r="E9" s="6"/>
    </row>
    <row r="10" spans="1:6" ht="25.8" x14ac:dyDescent="0.25">
      <c r="A10" s="3"/>
      <c r="B10" s="4"/>
      <c r="C10" s="5"/>
      <c r="D10" s="5"/>
      <c r="E10" s="6"/>
    </row>
    <row r="11" spans="1:6" ht="25.8" x14ac:dyDescent="0.25">
      <c r="A11" s="3"/>
      <c r="B11" s="4"/>
      <c r="C11" s="5"/>
      <c r="D11" s="5"/>
      <c r="E11" s="6"/>
    </row>
  </sheetData>
  <phoneticPr fontId="7" type="noConversion"/>
  <dataValidations count="1">
    <dataValidation type="list" sqref="D2:D4" xr:uid="{00000000-0002-0000-0200-000000000000}">
      <formula1>"买入,卖出"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F1" sqref="F1:F1048576"/>
    </sheetView>
  </sheetViews>
  <sheetFormatPr defaultColWidth="9" defaultRowHeight="14.4" x14ac:dyDescent="0.25"/>
  <cols>
    <col min="1" max="1" width="21.88671875" customWidth="1"/>
    <col min="2" max="2" width="53.6640625" customWidth="1"/>
    <col min="3" max="3" width="13.5546875" customWidth="1"/>
    <col min="4" max="4" width="9.33203125" customWidth="1"/>
    <col min="5" max="5" width="17.77734375" customWidth="1"/>
    <col min="6" max="6" width="18" customWidth="1"/>
  </cols>
  <sheetData>
    <row r="1" spans="1:6" ht="25.8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6" ht="25.8" x14ac:dyDescent="0.25">
      <c r="A2" s="3"/>
      <c r="B2" s="4"/>
      <c r="C2" s="5"/>
      <c r="D2" s="5"/>
      <c r="E2" s="6"/>
    </row>
    <row r="3" spans="1:6" ht="25.8" x14ac:dyDescent="0.25">
      <c r="A3" s="3"/>
      <c r="B3" s="4"/>
      <c r="C3" s="5"/>
      <c r="D3" s="5"/>
      <c r="E3" s="6"/>
    </row>
    <row r="4" spans="1:6" ht="25.8" x14ac:dyDescent="0.25">
      <c r="A4" s="3"/>
      <c r="B4" s="4"/>
      <c r="C4" s="5"/>
      <c r="D4" s="5"/>
      <c r="E4" s="6"/>
    </row>
    <row r="5" spans="1:6" ht="25.8" x14ac:dyDescent="0.25">
      <c r="A5" s="3"/>
      <c r="B5" s="4"/>
      <c r="C5" s="5"/>
      <c r="D5" s="5"/>
      <c r="E5" s="6"/>
    </row>
    <row r="6" spans="1:6" ht="25.8" x14ac:dyDescent="0.25">
      <c r="A6" s="3"/>
      <c r="B6" s="4"/>
      <c r="C6" s="5"/>
      <c r="D6" s="5"/>
      <c r="E6" s="6"/>
    </row>
    <row r="7" spans="1:6" ht="25.8" x14ac:dyDescent="0.25">
      <c r="A7" s="3"/>
      <c r="B7" s="4"/>
      <c r="C7" s="5"/>
      <c r="D7" s="5"/>
      <c r="E7" s="6"/>
    </row>
    <row r="8" spans="1:6" ht="25.8" x14ac:dyDescent="0.25">
      <c r="A8" s="3"/>
      <c r="B8" s="4"/>
      <c r="C8" s="5"/>
      <c r="D8" s="5"/>
      <c r="E8" s="6"/>
    </row>
    <row r="9" spans="1:6" ht="25.8" x14ac:dyDescent="0.25">
      <c r="A9" s="3"/>
      <c r="B9" s="4"/>
      <c r="C9" s="5"/>
      <c r="D9" s="5"/>
      <c r="E9" s="6"/>
    </row>
    <row r="10" spans="1:6" ht="25.8" x14ac:dyDescent="0.25">
      <c r="A10" s="3"/>
      <c r="B10" s="4"/>
      <c r="C10" s="5"/>
      <c r="D10" s="5"/>
      <c r="E10" s="6"/>
    </row>
    <row r="11" spans="1:6" ht="25.8" x14ac:dyDescent="0.25">
      <c r="A11" s="3"/>
      <c r="B11" s="4"/>
      <c r="C11" s="5"/>
      <c r="D11" s="5"/>
      <c r="E11" s="6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1" sqref="F1:F1048576"/>
    </sheetView>
  </sheetViews>
  <sheetFormatPr defaultColWidth="9" defaultRowHeight="14.4" x14ac:dyDescent="0.25"/>
  <cols>
    <col min="1" max="1" width="21.88671875" customWidth="1"/>
    <col min="2" max="2" width="53.6640625" customWidth="1"/>
    <col min="3" max="3" width="13.5546875" customWidth="1"/>
    <col min="4" max="4" width="9.33203125" customWidth="1"/>
    <col min="5" max="5" width="17.77734375" customWidth="1"/>
    <col min="6" max="6" width="18" customWidth="1"/>
  </cols>
  <sheetData>
    <row r="1" spans="1:6" ht="25.8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6" ht="25.8" x14ac:dyDescent="0.25">
      <c r="A2" s="3">
        <v>46241</v>
      </c>
      <c r="B2" s="4" t="s">
        <v>26</v>
      </c>
      <c r="C2" s="5" t="s">
        <v>27</v>
      </c>
      <c r="D2" s="5" t="s">
        <v>6</v>
      </c>
      <c r="E2" s="6">
        <v>9000</v>
      </c>
    </row>
    <row r="3" spans="1:6" ht="25.8" x14ac:dyDescent="0.25">
      <c r="A3" s="3"/>
      <c r="B3" s="4"/>
      <c r="C3" s="5"/>
      <c r="D3" s="5"/>
      <c r="E3" s="6"/>
    </row>
    <row r="4" spans="1:6" ht="25.8" x14ac:dyDescent="0.25">
      <c r="A4" s="3"/>
      <c r="B4" s="4"/>
      <c r="C4" s="5"/>
      <c r="D4" s="5"/>
      <c r="E4" s="6"/>
    </row>
    <row r="5" spans="1:6" ht="25.8" x14ac:dyDescent="0.25">
      <c r="A5" s="3"/>
      <c r="B5" s="4"/>
      <c r="C5" s="5"/>
      <c r="D5" s="5"/>
      <c r="E5" s="6"/>
    </row>
    <row r="6" spans="1:6" ht="25.8" x14ac:dyDescent="0.25">
      <c r="A6" s="3"/>
      <c r="B6" s="4"/>
      <c r="C6" s="5"/>
      <c r="D6" s="5"/>
      <c r="E6" s="6"/>
    </row>
    <row r="7" spans="1:6" ht="25.8" x14ac:dyDescent="0.25">
      <c r="A7" s="3"/>
      <c r="B7" s="4"/>
      <c r="C7" s="5"/>
      <c r="D7" s="5"/>
      <c r="E7" s="6"/>
    </row>
    <row r="8" spans="1:6" ht="25.8" x14ac:dyDescent="0.25">
      <c r="A8" s="3"/>
      <c r="B8" s="4"/>
      <c r="C8" s="5"/>
      <c r="D8" s="5"/>
      <c r="E8" s="6"/>
    </row>
    <row r="9" spans="1:6" ht="25.8" x14ac:dyDescent="0.25">
      <c r="A9" s="3"/>
      <c r="B9" s="4"/>
      <c r="C9" s="5"/>
      <c r="D9" s="5"/>
      <c r="E9" s="6"/>
    </row>
    <row r="10" spans="1:6" ht="25.8" x14ac:dyDescent="0.25">
      <c r="A10" s="3"/>
      <c r="B10" s="4"/>
      <c r="C10" s="5"/>
      <c r="D10" s="5"/>
      <c r="E10" s="6"/>
    </row>
  </sheetData>
  <phoneticPr fontId="7" type="noConversion"/>
  <dataValidations count="1">
    <dataValidation type="list" sqref="D2" xr:uid="{00000000-0002-0000-0400-000000000000}">
      <formula1>"买入,卖出"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持有</vt:lpstr>
      <vt:lpstr>指数</vt:lpstr>
      <vt:lpstr>量化</vt:lpstr>
      <vt:lpstr>行业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zuoxin xi</cp:lastModifiedBy>
  <dcterms:created xsi:type="dcterms:W3CDTF">2026-08-07T14:26:48Z</dcterms:created>
  <dcterms:modified xsi:type="dcterms:W3CDTF">2026-08-07T14:40:16Z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A61BDF4D489B43E88BB741122B1D2D19_12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